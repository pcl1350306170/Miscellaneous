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5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autoCompressPictures="0"/>
  <bookViews>
    <workbookView xWindow="-23500" yWindow="0" windowWidth="25600" windowHeight="14000" tabRatio="500"/>
  </bookViews>
  <sheets>
    <sheet name="2.5 财务预测" sheetId="4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32" i="4" l="1"/>
  <c r="G32" i="4"/>
  <c r="H32" i="4"/>
  <c r="I32" i="4"/>
  <c r="E32" i="4"/>
  <c r="E35" i="4"/>
  <c r="E33" i="4"/>
  <c r="E38" i="4"/>
  <c r="F33" i="4"/>
  <c r="F35" i="4"/>
  <c r="F38" i="4"/>
  <c r="G33" i="4"/>
  <c r="G35" i="4"/>
  <c r="G38" i="4"/>
  <c r="H33" i="4"/>
  <c r="H35" i="4"/>
  <c r="H38" i="4"/>
  <c r="I33" i="4"/>
  <c r="I35" i="4"/>
  <c r="I38" i="4"/>
  <c r="D38" i="4"/>
  <c r="E45" i="4"/>
  <c r="D42" i="4"/>
  <c r="D47" i="4"/>
  <c r="E40" i="4"/>
  <c r="E42" i="4"/>
  <c r="E43" i="4"/>
  <c r="E46" i="4"/>
  <c r="E47" i="4"/>
  <c r="F40" i="4"/>
  <c r="F42" i="4"/>
  <c r="F43" i="4"/>
  <c r="F45" i="4"/>
  <c r="F46" i="4"/>
  <c r="F47" i="4"/>
  <c r="G40" i="4"/>
  <c r="G42" i="4"/>
  <c r="G43" i="4"/>
  <c r="G45" i="4"/>
  <c r="G46" i="4"/>
  <c r="G47" i="4"/>
  <c r="H40" i="4"/>
  <c r="H42" i="4"/>
  <c r="H43" i="4"/>
  <c r="H45" i="4"/>
  <c r="H46" i="4"/>
  <c r="H47" i="4"/>
  <c r="I40" i="4"/>
  <c r="I42" i="4"/>
  <c r="I43" i="4"/>
  <c r="I45" i="4"/>
  <c r="I46" i="4"/>
  <c r="I47" i="4"/>
  <c r="D43" i="4"/>
</calcChain>
</file>

<file path=xl/sharedStrings.xml><?xml version="1.0" encoding="utf-8"?>
<sst xmlns="http://schemas.openxmlformats.org/spreadsheetml/2006/main" count="71" uniqueCount="64">
  <si>
    <t>点击学习课程</t>
    <phoneticPr fontId="8" type="noConversion"/>
  </si>
  <si>
    <t>假设条件</t>
    <phoneticPr fontId="17" type="noConversion"/>
  </si>
  <si>
    <t>财务测算</t>
    <phoneticPr fontId="17" type="noConversion"/>
  </si>
  <si>
    <t>年   份</t>
    <phoneticPr fontId="8" type="noConversion"/>
  </si>
  <si>
    <t>加：其它收入等</t>
    <phoneticPr fontId="17" type="noConversion"/>
  </si>
  <si>
    <t>工作收入结余</t>
    <phoneticPr fontId="8" type="noConversion"/>
  </si>
  <si>
    <t>本年初可供投资总资产</t>
    <phoneticPr fontId="17" type="noConversion"/>
  </si>
  <si>
    <t>减：年初大型目标支出</t>
  </si>
  <si>
    <t>本年新增可供投资收入结余
（全年结余的1/2）</t>
    <phoneticPr fontId="8" type="noConversion"/>
  </si>
  <si>
    <t>投资本金</t>
  </si>
  <si>
    <t>本年投资收益率</t>
  </si>
  <si>
    <t>-</t>
    <phoneticPr fontId="8" type="noConversion"/>
  </si>
  <si>
    <t>本年度理财收入</t>
  </si>
  <si>
    <t>本年末可供投资总资产</t>
    <phoneticPr fontId="17" type="noConversion"/>
  </si>
  <si>
    <r>
      <t>说明：</t>
    </r>
    <r>
      <rPr>
        <b/>
        <sz val="16"/>
        <color theme="5"/>
        <rFont val="微软雅黑"/>
        <charset val="134"/>
      </rPr>
      <t>适用于完成课时2.5后填写</t>
    </r>
    <phoneticPr fontId="8" type="noConversion"/>
  </si>
  <si>
    <r>
      <t>4. 课程地址：</t>
    </r>
    <r>
      <rPr>
        <sz val="12"/>
        <color rgb="FF3366FF"/>
        <rFont val="微软雅黑"/>
        <charset val="134"/>
      </rPr>
      <t xml:space="preserve">http://study.163.com/course/courseMain.htm?courseId=1003418002 </t>
    </r>
    <phoneticPr fontId="8" type="noConversion"/>
  </si>
  <si>
    <t>工作收入（主动收入）</t>
    <phoneticPr fontId="8" type="noConversion"/>
  </si>
  <si>
    <t>1)</t>
    <phoneticPr fontId="8" type="noConversion"/>
  </si>
  <si>
    <t>2)</t>
    <phoneticPr fontId="8" type="noConversion"/>
  </si>
  <si>
    <t>3)</t>
  </si>
  <si>
    <t>4)</t>
  </si>
  <si>
    <t>5)</t>
  </si>
  <si>
    <t>6)</t>
  </si>
  <si>
    <t>7)</t>
  </si>
  <si>
    <t>8)</t>
  </si>
  <si>
    <t>9)</t>
  </si>
  <si>
    <t>10)</t>
  </si>
  <si>
    <t>12)</t>
  </si>
  <si>
    <t>13)</t>
  </si>
  <si>
    <t>11)</t>
    <phoneticPr fontId="8" type="noConversion"/>
  </si>
  <si>
    <t>如果有当年对应的其它收入调整，可以单独反映在这里</t>
    <phoneticPr fontId="8" type="noConversion"/>
  </si>
  <si>
    <t>收入结余=工作收入+其它收入-日常消费-理财支出</t>
    <phoneticPr fontId="8" type="noConversion"/>
  </si>
  <si>
    <t>投资本金=年初可供投资总资产 - 年初大型目标支出 +本年新增可供投资收入结余</t>
    <phoneticPr fontId="8" type="noConversion"/>
  </si>
  <si>
    <t>填写说明：</t>
    <phoneticPr fontId="17" type="noConversion"/>
  </si>
  <si>
    <t xml:space="preserve">                  《跟简七学理财》财富练习册</t>
    <phoneticPr fontId="8" type="noConversion"/>
  </si>
  <si>
    <t>减：日常消费</t>
    <phoneticPr fontId="17" type="noConversion"/>
  </si>
  <si>
    <t>减：贷款本息支出</t>
    <phoneticPr fontId="8" type="noConversion"/>
  </si>
  <si>
    <t>减：其它各类支出等</t>
    <phoneticPr fontId="17" type="noConversion"/>
  </si>
  <si>
    <t>2. 模型中需要填写的部分用红色方框圈出，剩下的部分会根据填写的内容自动计算</t>
    <phoneticPr fontId="8" type="noConversion"/>
  </si>
  <si>
    <t>用于衡量每年的工作收入增长率，可以根据行业的平均水平结合自己个人情况进行估计</t>
    <phoneticPr fontId="8" type="noConversion"/>
  </si>
  <si>
    <t>衡量每年的物价增长幅度，可以从国家统计局获得CPI的具体数字（详情参考课程1.6）</t>
    <phoneticPr fontId="8" type="noConversion"/>
  </si>
  <si>
    <t>用于衡量每年的支出情况变化，可以根据实际情况每年设定不同的变化率</t>
    <phoneticPr fontId="8" type="noConversion"/>
  </si>
  <si>
    <t>用于衡量给定风险承受能力下年投资回报水平（年度投资收益/总投资本金），可以参考2.4中的风险测评表或根据自己的实际投资情况做估计</t>
    <phoneticPr fontId="8" type="noConversion"/>
  </si>
  <si>
    <t>如果有其他影响收入、支出或资产增值的因素，可以在后面继续增加相关数据</t>
    <phoneticPr fontId="17" type="noConversion"/>
  </si>
  <si>
    <t>年收入增长（%）</t>
    <phoneticPr fontId="8" type="noConversion"/>
  </si>
  <si>
    <t>物价指数（%）</t>
    <phoneticPr fontId="8" type="noConversion"/>
  </si>
  <si>
    <t>年消费变化（%）</t>
    <phoneticPr fontId="8" type="noConversion"/>
  </si>
  <si>
    <t>年平均投资收益率（%）</t>
    <phoneticPr fontId="8" type="noConversion"/>
  </si>
  <si>
    <t>其它假设条件（%）</t>
    <phoneticPr fontId="17" type="noConversion"/>
  </si>
  <si>
    <t>第一年的数据来自上次课程作业填写的收支表内的"工作收入"，之后每年的数值为前一年的数值乘以（1+年收入增长率）</t>
    <phoneticPr fontId="8" type="noConversion"/>
  </si>
  <si>
    <t>第一年的数据来自上次课程作业填写的收支表内的"生活支出"，之后每年的数值为前一年的数值乘以（1+年消费变化幅度）</t>
    <phoneticPr fontId="8" type="noConversion"/>
  </si>
  <si>
    <t>第一年数据来自上次课程作业填写的收支表内的"理财支出" ，但要扣除掉已经在贷款本息和中计算过的利息支出</t>
    <phoneticPr fontId="8" type="noConversion"/>
  </si>
  <si>
    <t>年初大型目标支出用于考虑当年可能发生的、而且没有被记录在上面的各类支出中的大额支出，如买车首付、买房等</t>
    <phoneticPr fontId="8" type="noConversion"/>
  </si>
  <si>
    <t>第一年的理财收入来自于收支表里的"理财收入"，之后每年的数值 = 投资本金*本年度投资收益率</t>
    <phoneticPr fontId="8" type="noConversion"/>
  </si>
  <si>
    <r>
      <t xml:space="preserve">本年末可供投资总资产=本年初可供投资总资产+总收入-总支出 = </t>
    </r>
    <r>
      <rPr>
        <sz val="11"/>
        <color theme="9"/>
        <rFont val="微软雅黑"/>
        <charset val="134"/>
      </rPr>
      <t>本年初可供投资总资产 - 年初大型目标支出 + 工作收入结余 + 本年度理财收入</t>
    </r>
    <phoneticPr fontId="8" type="noConversion"/>
  </si>
  <si>
    <t>3. 每一栏内容我们都在最右边做了详细的说明，供大家参考</t>
    <phoneticPr fontId="8" type="noConversion"/>
  </si>
  <si>
    <t>所有贷款的年还款本息支出总和（大家可能记得前面我们把本息分开记录在收支表和资产负债表上，这里为了方便计算，我们合在一起记录）</t>
    <phoneticPr fontId="17" type="noConversion"/>
  </si>
  <si>
    <r>
      <t>第一年的数据来自资产负债表中的"投资性资产"，但应剔除掉其中暂时无法产生投资回报的资产；之后每年的数据等于前一年的”</t>
    </r>
    <r>
      <rPr>
        <sz val="11"/>
        <color theme="9"/>
        <rFont val="微软雅黑"/>
        <charset val="134"/>
      </rPr>
      <t>本年末可供投资总资产</t>
    </r>
    <r>
      <rPr>
        <sz val="11"/>
        <color theme="1" tint="0.249977111117893"/>
        <rFont val="微软雅黑"/>
        <charset val="134"/>
      </rPr>
      <t>“（详细说明见#13）</t>
    </r>
    <phoneticPr fontId="8" type="noConversion"/>
  </si>
  <si>
    <t>本年投资收益率为上文假设的年平均投资回报</t>
    <phoneticPr fontId="8" type="noConversion"/>
  </si>
  <si>
    <t>为填表当年</t>
    <phoneticPr fontId="17" type="noConversion"/>
  </si>
  <si>
    <t>以全年工作收入结余的二分之一作为估计值：考虑每份收入开始产生投资回报的时间不等，折合平均为全年工资结余的一半</t>
    <phoneticPr fontId="8" type="noConversion"/>
  </si>
  <si>
    <t>课时2.5 财务规划之财务预测</t>
    <phoneticPr fontId="8" type="noConversion"/>
  </si>
  <si>
    <r>
      <t>1. 这是一个半自动化的简单财务预测模型，用于</t>
    </r>
    <r>
      <rPr>
        <sz val="12"/>
        <color theme="5"/>
        <rFont val="微软雅黑"/>
        <charset val="134"/>
      </rPr>
      <t>粗略估算</t>
    </r>
    <r>
      <rPr>
        <sz val="12"/>
        <color theme="1" tint="0.249977111117893"/>
        <rFont val="微软雅黑"/>
        <charset val="134"/>
      </rPr>
      <t>未来5年的个人或家庭资产变化情况，仅供参考</t>
    </r>
    <phoneticPr fontId="8" type="noConversion"/>
  </si>
  <si>
    <r>
      <t>5. 作业提交地址：</t>
    </r>
    <r>
      <rPr>
        <sz val="12"/>
        <color rgb="FF3366FF"/>
        <rFont val="微软雅黑"/>
        <charset val="134"/>
      </rPr>
      <t xml:space="preserve">http://jane7.com/forum.php?mod=forumdisplay&amp;fid=185 </t>
    </r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</si>
</sst>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76" formatCode="0.0%"/>
    <numFmt numFmtId="177" formatCode="_ * #,##0_ ;_ * \-#,##0_ ;_ * &quot;-&quot;??_ ;_ @_ "/>
  </numFmts>
  <fonts count="21" x14ac:knownFonts="1">
    <font>
      <sz val="12"/>
      <color theme="1"/>
      <name val="宋体"/>
      <family val="2"/>
      <charset val="134"/>
      <scheme val="minor"/>
    </font>
    <font>
      <sz val="12"/>
      <color theme="1"/>
      <name val="宋体"/>
      <family val="2"/>
      <charset val="134"/>
      <scheme val="minor"/>
    </font>
    <font>
      <b/>
      <sz val="12"/>
      <color theme="1" tint="0.249977111117893"/>
      <name val="微软雅黑"/>
      <charset val="134"/>
    </font>
    <font>
      <sz val="12"/>
      <color theme="1" tint="0.249977111117893"/>
      <name val="微软雅黑"/>
      <charset val="134"/>
    </font>
    <font>
      <b/>
      <sz val="16"/>
      <color theme="1" tint="0.249977111117893"/>
      <name val="微软雅黑"/>
      <charset val="134"/>
    </font>
    <font>
      <sz val="12"/>
      <color theme="1"/>
      <name val="微软雅黑"/>
      <charset val="134"/>
    </font>
    <font>
      <sz val="12"/>
      <color theme="9" tint="-0.249977111117893"/>
      <name val="微软雅黑"/>
      <charset val="134"/>
    </font>
    <font>
      <sz val="12"/>
      <color theme="9"/>
      <name val="微软雅黑"/>
      <charset val="134"/>
    </font>
    <font>
      <sz val="9"/>
      <name val="宋体"/>
      <family val="2"/>
      <charset val="134"/>
      <scheme val="minor"/>
    </font>
    <font>
      <sz val="18"/>
      <color theme="1" tint="0.249977111117893"/>
      <name val="微软雅黑"/>
      <charset val="134"/>
    </font>
    <font>
      <sz val="20"/>
      <color theme="1" tint="0.249977111117893"/>
      <name val="微软雅黑"/>
      <charset val="134"/>
    </font>
    <font>
      <u/>
      <sz val="12"/>
      <color theme="10"/>
      <name val="宋体"/>
      <family val="2"/>
      <charset val="134"/>
      <scheme val="minor"/>
    </font>
    <font>
      <u/>
      <sz val="12"/>
      <color theme="11"/>
      <name val="宋体"/>
      <family val="2"/>
      <charset val="134"/>
      <scheme val="minor"/>
    </font>
    <font>
      <u/>
      <sz val="12"/>
      <color theme="10"/>
      <name val="微软雅黑"/>
      <charset val="134"/>
    </font>
    <font>
      <sz val="12"/>
      <color rgb="FF3366FF"/>
      <name val="微软雅黑"/>
      <charset val="134"/>
    </font>
    <font>
      <b/>
      <sz val="16"/>
      <color theme="5"/>
      <name val="微软雅黑"/>
      <charset val="134"/>
    </font>
    <font>
      <sz val="11"/>
      <color theme="1" tint="0.249977111117893"/>
      <name val="微软雅黑"/>
      <charset val="134"/>
    </font>
    <font>
      <sz val="9"/>
      <name val="宋体"/>
      <charset val="134"/>
    </font>
    <font>
      <sz val="11"/>
      <color theme="9"/>
      <name val="微软雅黑"/>
      <charset val="134"/>
    </font>
    <font>
      <b/>
      <sz val="11"/>
      <color theme="1" tint="0.249977111117893"/>
      <name val="微软雅黑"/>
      <charset val="134"/>
    </font>
    <font>
      <sz val="12"/>
      <color theme="5"/>
      <name val="微软雅黑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thin">
        <color theme="0" tint="-0.34998626667073579"/>
      </bottom>
      <diagonal/>
    </border>
    <border>
      <left style="medium">
        <color theme="5"/>
      </left>
      <right style="medium">
        <color theme="5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5"/>
      </left>
      <right style="medium">
        <color theme="5"/>
      </right>
      <top style="thin">
        <color theme="0" tint="-0.34998626667073579"/>
      </top>
      <bottom style="medium">
        <color theme="5"/>
      </bottom>
      <diagonal/>
    </border>
    <border>
      <left style="medium">
        <color theme="5"/>
      </left>
      <right style="thin">
        <color theme="0" tint="-0.499984740745262"/>
      </right>
      <top style="medium">
        <color theme="5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5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5"/>
      </right>
      <top style="medium">
        <color theme="5"/>
      </top>
      <bottom style="thin">
        <color theme="0" tint="-0.499984740745262"/>
      </bottom>
      <diagonal/>
    </border>
    <border>
      <left style="medium">
        <color theme="5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5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5"/>
      </left>
      <right style="thin">
        <color theme="0" tint="-0.499984740745262"/>
      </right>
      <top style="thin">
        <color theme="0" tint="-0.499984740745262"/>
      </top>
      <bottom style="medium">
        <color theme="5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5"/>
      </bottom>
      <diagonal/>
    </border>
    <border>
      <left style="thin">
        <color theme="0" tint="-0.499984740745262"/>
      </left>
      <right style="medium">
        <color theme="5"/>
      </right>
      <top style="thin">
        <color theme="0" tint="-0.499984740745262"/>
      </top>
      <bottom style="medium">
        <color theme="5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3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78">
    <xf numFmtId="0" fontId="0" fillId="0" borderId="0" xfId="0"/>
    <xf numFmtId="0" fontId="3" fillId="0" borderId="0" xfId="0" applyFont="1"/>
    <xf numFmtId="0" fontId="3" fillId="0" borderId="0" xfId="0" applyFont="1" applyFill="1" applyBorder="1"/>
    <xf numFmtId="0" fontId="3" fillId="0" borderId="0" xfId="0" applyFont="1" applyBorder="1"/>
    <xf numFmtId="0" fontId="3" fillId="2" borderId="0" xfId="0" applyFont="1" applyFill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0" xfId="0" applyFont="1" applyFill="1" applyBorder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4" xfId="0" applyFont="1" applyFill="1" applyBorder="1"/>
    <xf numFmtId="0" fontId="4" fillId="2" borderId="0" xfId="0" applyFont="1" applyFill="1" applyBorder="1"/>
    <xf numFmtId="0" fontId="5" fillId="2" borderId="7" xfId="0" applyFont="1" applyFill="1" applyBorder="1"/>
    <xf numFmtId="0" fontId="6" fillId="2" borderId="7" xfId="0" applyFont="1" applyFill="1" applyBorder="1"/>
    <xf numFmtId="0" fontId="3" fillId="2" borderId="3" xfId="0" applyFont="1" applyFill="1" applyBorder="1"/>
    <xf numFmtId="0" fontId="3" fillId="2" borderId="5" xfId="0" applyFont="1" applyFill="1" applyBorder="1"/>
    <xf numFmtId="0" fontId="3" fillId="2" borderId="8" xfId="0" applyFont="1" applyFill="1" applyBorder="1"/>
    <xf numFmtId="0" fontId="3" fillId="2" borderId="0" xfId="0" applyFont="1" applyFill="1" applyBorder="1" applyAlignment="1">
      <alignment horizontal="left" wrapText="1"/>
    </xf>
    <xf numFmtId="0" fontId="3" fillId="2" borderId="0" xfId="0" applyFont="1" applyFill="1" applyBorder="1" applyAlignment="1">
      <alignment horizontal="left"/>
    </xf>
    <xf numFmtId="0" fontId="16" fillId="0" borderId="0" xfId="0" applyFont="1" applyAlignment="1">
      <alignment vertical="center"/>
    </xf>
    <xf numFmtId="0" fontId="16" fillId="0" borderId="0" xfId="0" applyFont="1" applyFill="1" applyBorder="1" applyAlignment="1">
      <alignment vertical="center"/>
    </xf>
    <xf numFmtId="0" fontId="16" fillId="0" borderId="0" xfId="0" applyFont="1" applyAlignment="1">
      <alignment horizontal="center" vertical="center"/>
    </xf>
    <xf numFmtId="0" fontId="4" fillId="2" borderId="0" xfId="0" applyFont="1" applyFill="1" applyBorder="1" applyAlignment="1">
      <alignment vertical="center"/>
    </xf>
    <xf numFmtId="43" fontId="16" fillId="0" borderId="0" xfId="0" applyNumberFormat="1" applyFont="1" applyAlignment="1">
      <alignment vertical="center"/>
    </xf>
    <xf numFmtId="0" fontId="2" fillId="3" borderId="9" xfId="0" applyFont="1" applyFill="1" applyBorder="1" applyAlignment="1">
      <alignment horizontal="left" vertical="center" wrapText="1" readingOrder="1"/>
    </xf>
    <xf numFmtId="0" fontId="2" fillId="3" borderId="9" xfId="0" applyFont="1" applyFill="1" applyBorder="1" applyAlignment="1">
      <alignment horizontal="center" vertical="center" wrapText="1" readingOrder="1"/>
    </xf>
    <xf numFmtId="0" fontId="3" fillId="2" borderId="10" xfId="0" applyFont="1" applyFill="1" applyBorder="1" applyAlignment="1">
      <alignment vertical="center"/>
    </xf>
    <xf numFmtId="177" fontId="3" fillId="6" borderId="10" xfId="1" applyNumberFormat="1" applyFont="1" applyFill="1" applyBorder="1" applyAlignment="1">
      <alignment vertical="center"/>
    </xf>
    <xf numFmtId="0" fontId="7" fillId="2" borderId="10" xfId="0" applyFont="1" applyFill="1" applyBorder="1" applyAlignment="1">
      <alignment vertical="center"/>
    </xf>
    <xf numFmtId="177" fontId="3" fillId="2" borderId="10" xfId="1" applyNumberFormat="1" applyFont="1" applyFill="1" applyBorder="1" applyAlignment="1">
      <alignment vertical="center"/>
    </xf>
    <xf numFmtId="0" fontId="3" fillId="4" borderId="10" xfId="0" applyFont="1" applyFill="1" applyBorder="1" applyAlignment="1">
      <alignment vertical="center"/>
    </xf>
    <xf numFmtId="177" fontId="3" fillId="4" borderId="10" xfId="0" applyNumberFormat="1" applyFont="1" applyFill="1" applyBorder="1" applyAlignment="1">
      <alignment horizontal="center" vertical="center"/>
    </xf>
    <xf numFmtId="3" fontId="3" fillId="4" borderId="10" xfId="0" applyNumberFormat="1" applyFont="1" applyFill="1" applyBorder="1" applyAlignment="1">
      <alignment horizontal="center" vertical="center"/>
    </xf>
    <xf numFmtId="177" fontId="3" fillId="4" borderId="10" xfId="1" applyNumberFormat="1" applyFont="1" applyFill="1" applyBorder="1" applyAlignment="1">
      <alignment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vertical="center" wrapText="1"/>
    </xf>
    <xf numFmtId="3" fontId="3" fillId="4" borderId="10" xfId="0" applyNumberFormat="1" applyFont="1" applyFill="1" applyBorder="1" applyAlignment="1">
      <alignment horizontal="center" vertical="center" wrapText="1"/>
    </xf>
    <xf numFmtId="176" fontId="3" fillId="2" borderId="10" xfId="0" applyNumberFormat="1" applyFont="1" applyFill="1" applyBorder="1" applyAlignment="1">
      <alignment vertical="center"/>
    </xf>
    <xf numFmtId="0" fontId="9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176" fontId="2" fillId="0" borderId="9" xfId="2" applyNumberFormat="1" applyFont="1" applyFill="1" applyBorder="1" applyAlignment="1">
      <alignment horizontal="center" vertical="center" wrapText="1" readingOrder="1"/>
    </xf>
    <xf numFmtId="0" fontId="2" fillId="0" borderId="0" xfId="0" applyFont="1" applyFill="1" applyBorder="1" applyAlignment="1">
      <alignment horizontal="center" vertical="center" wrapText="1" readingOrder="1"/>
    </xf>
    <xf numFmtId="0" fontId="3" fillId="2" borderId="11" xfId="0" applyFont="1" applyFill="1" applyBorder="1" applyAlignment="1">
      <alignment vertical="center"/>
    </xf>
    <xf numFmtId="0" fontId="3" fillId="2" borderId="12" xfId="0" applyFont="1" applyFill="1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0" fontId="3" fillId="2" borderId="11" xfId="0" applyFont="1" applyFill="1" applyBorder="1" applyAlignment="1">
      <alignment vertical="center" wrapText="1"/>
    </xf>
    <xf numFmtId="0" fontId="3" fillId="2" borderId="12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vertical="center" wrapText="1"/>
    </xf>
    <xf numFmtId="0" fontId="16" fillId="0" borderId="0" xfId="0" applyFont="1" applyFill="1" applyBorder="1" applyAlignment="1">
      <alignment vertical="top"/>
    </xf>
    <xf numFmtId="0" fontId="19" fillId="2" borderId="0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3" fillId="5" borderId="0" xfId="5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left" vertical="center" wrapText="1" readingOrder="1"/>
    </xf>
    <xf numFmtId="0" fontId="2" fillId="3" borderId="15" xfId="0" applyFont="1" applyFill="1" applyBorder="1" applyAlignment="1">
      <alignment horizontal="center" vertical="center" wrapText="1" readingOrder="1"/>
    </xf>
    <xf numFmtId="0" fontId="7" fillId="2" borderId="11" xfId="0" applyFont="1" applyFill="1" applyBorder="1" applyAlignment="1">
      <alignment vertical="center"/>
    </xf>
    <xf numFmtId="177" fontId="3" fillId="6" borderId="13" xfId="1" applyNumberFormat="1" applyFont="1" applyFill="1" applyBorder="1" applyAlignment="1">
      <alignment vertical="center"/>
    </xf>
    <xf numFmtId="177" fontId="3" fillId="2" borderId="13" xfId="1" applyNumberFormat="1" applyFont="1" applyFill="1" applyBorder="1" applyAlignment="1">
      <alignment vertical="center"/>
    </xf>
    <xf numFmtId="177" fontId="3" fillId="4" borderId="17" xfId="0" applyNumberFormat="1" applyFont="1" applyFill="1" applyBorder="1" applyAlignment="1">
      <alignment horizontal="center" vertical="center"/>
    </xf>
    <xf numFmtId="3" fontId="3" fillId="2" borderId="18" xfId="0" applyNumberFormat="1" applyFont="1" applyFill="1" applyBorder="1" applyAlignment="1">
      <alignment horizontal="center" vertical="center"/>
    </xf>
    <xf numFmtId="177" fontId="3" fillId="6" borderId="19" xfId="1" applyNumberFormat="1" applyFont="1" applyFill="1" applyBorder="1" applyAlignment="1">
      <alignment vertical="center"/>
    </xf>
    <xf numFmtId="3" fontId="3" fillId="2" borderId="19" xfId="0" applyNumberFormat="1" applyFont="1" applyFill="1" applyBorder="1" applyAlignment="1">
      <alignment horizontal="center" vertical="center"/>
    </xf>
    <xf numFmtId="177" fontId="3" fillId="6" borderId="20" xfId="1" applyNumberFormat="1" applyFont="1" applyFill="1" applyBorder="1" applyAlignment="1">
      <alignment vertical="center"/>
    </xf>
    <xf numFmtId="176" fontId="2" fillId="0" borderId="21" xfId="2" applyNumberFormat="1" applyFont="1" applyFill="1" applyBorder="1" applyAlignment="1">
      <alignment horizontal="center" vertical="center" wrapText="1" readingOrder="1"/>
    </xf>
    <xf numFmtId="176" fontId="2" fillId="0" borderId="22" xfId="2" applyNumberFormat="1" applyFont="1" applyFill="1" applyBorder="1" applyAlignment="1">
      <alignment horizontal="center" vertical="center" wrapText="1" readingOrder="1"/>
    </xf>
    <xf numFmtId="176" fontId="2" fillId="0" borderId="23" xfId="2" applyNumberFormat="1" applyFont="1" applyFill="1" applyBorder="1" applyAlignment="1">
      <alignment horizontal="center" vertical="center" wrapText="1" readingOrder="1"/>
    </xf>
    <xf numFmtId="176" fontId="2" fillId="0" borderId="24" xfId="2" applyNumberFormat="1" applyFont="1" applyFill="1" applyBorder="1" applyAlignment="1">
      <alignment horizontal="center" vertical="center" wrapText="1" readingOrder="1"/>
    </xf>
    <xf numFmtId="176" fontId="2" fillId="0" borderId="25" xfId="2" applyNumberFormat="1" applyFont="1" applyFill="1" applyBorder="1" applyAlignment="1">
      <alignment horizontal="center" vertical="center" wrapText="1" readingOrder="1"/>
    </xf>
    <xf numFmtId="0" fontId="2" fillId="0" borderId="26" xfId="0" applyFont="1" applyFill="1" applyBorder="1" applyAlignment="1">
      <alignment horizontal="center" vertical="center" wrapText="1" readingOrder="1"/>
    </xf>
    <xf numFmtId="0" fontId="2" fillId="0" borderId="27" xfId="0" applyFont="1" applyFill="1" applyBorder="1" applyAlignment="1">
      <alignment horizontal="center" vertical="center" wrapText="1" readingOrder="1"/>
    </xf>
    <xf numFmtId="0" fontId="2" fillId="0" borderId="28" xfId="0" applyFont="1" applyFill="1" applyBorder="1" applyAlignment="1">
      <alignment horizontal="center" vertical="center" wrapText="1" readingOrder="1"/>
    </xf>
    <xf numFmtId="0" fontId="3" fillId="4" borderId="11" xfId="0" applyFont="1" applyFill="1" applyBorder="1" applyAlignment="1">
      <alignment vertical="center"/>
    </xf>
    <xf numFmtId="177" fontId="3" fillId="4" borderId="13" xfId="1" applyNumberFormat="1" applyFont="1" applyFill="1" applyBorder="1" applyAlignment="1">
      <alignment vertical="center"/>
    </xf>
    <xf numFmtId="0" fontId="3" fillId="2" borderId="29" xfId="0" applyFont="1" applyFill="1" applyBorder="1" applyAlignment="1">
      <alignment vertical="center"/>
    </xf>
    <xf numFmtId="3" fontId="3" fillId="4" borderId="16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3" fontId="3" fillId="4" borderId="17" xfId="0" applyNumberFormat="1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</cellXfs>
  <cellStyles count="39">
    <cellStyle name="百分比" xfId="2" builtinId="5"/>
    <cellStyle name="超链接" xfId="3" builtinId="8" hidden="1"/>
    <cellStyle name="超链接" xfId="5" builtinId="8"/>
    <cellStyle name="逗号" xfId="1" builtinId="3"/>
    <cellStyle name="访问过的超链接" xfId="4" builtinId="9" hidden="1"/>
    <cellStyle name="访问过的超链接" xfId="6" builtinId="9" hidden="1"/>
    <cellStyle name="访问过的超链接" xfId="7" builtinId="9" hidden="1"/>
    <cellStyle name="访问过的超链接" xfId="8" builtinId="9" hidden="1"/>
    <cellStyle name="访问过的超链接" xfId="9" builtinId="9" hidden="1"/>
    <cellStyle name="访问过的超链接" xfId="10" builtinId="9" hidden="1"/>
    <cellStyle name="访问过的超链接" xfId="11" builtinId="9" hidden="1"/>
    <cellStyle name="访问过的超链接" xfId="12" builtinId="9" hidden="1"/>
    <cellStyle name="访问过的超链接" xfId="13" builtinId="9" hidden="1"/>
    <cellStyle name="访问过的超链接" xfId="14" builtinId="9" hidden="1"/>
    <cellStyle name="访问过的超链接" xfId="15" builtinId="9" hidden="1"/>
    <cellStyle name="访问过的超链接" xfId="16" builtinId="9" hidden="1"/>
    <cellStyle name="访问过的超链接" xfId="17" builtinId="9" hidden="1"/>
    <cellStyle name="访问过的超链接" xfId="18" builtinId="9" hidden="1"/>
    <cellStyle name="访问过的超链接" xfId="19" builtinId="9" hidden="1"/>
    <cellStyle name="访问过的超链接" xfId="20" builtinId="9" hidden="1"/>
    <cellStyle name="访问过的超链接" xfId="21" builtinId="9" hidden="1"/>
    <cellStyle name="访问过的超链接" xfId="22" builtinId="9" hidden="1"/>
    <cellStyle name="访问过的超链接" xfId="23" builtinId="9" hidden="1"/>
    <cellStyle name="访问过的超链接" xfId="24" builtinId="9" hidden="1"/>
    <cellStyle name="访问过的超链接" xfId="25" builtinId="9" hidden="1"/>
    <cellStyle name="访问过的超链接" xfId="26" builtinId="9" hidden="1"/>
    <cellStyle name="访问过的超链接" xfId="27" builtinId="9" hidden="1"/>
    <cellStyle name="访问过的超链接" xfId="28" builtinId="9" hidden="1"/>
    <cellStyle name="访问过的超链接" xfId="29" builtinId="9" hidden="1"/>
    <cellStyle name="访问过的超链接" xfId="30" builtinId="9" hidden="1"/>
    <cellStyle name="访问过的超链接" xfId="31" builtinId="9" hidden="1"/>
    <cellStyle name="访问过的超链接" xfId="32" builtinId="9" hidden="1"/>
    <cellStyle name="访问过的超链接" xfId="33" builtinId="9" hidden="1"/>
    <cellStyle name="访问过的超链接" xfId="34" builtinId="9" hidden="1"/>
    <cellStyle name="访问过的超链接" xfId="35" builtinId="9" hidden="1"/>
    <cellStyle name="访问过的超链接" xfId="36" builtinId="9" hidden="1"/>
    <cellStyle name="访问过的超链接" xfId="37" builtinId="9" hidden="1"/>
    <cellStyle name="访问过的超链接" xfId="38" builtinId="9" hidden="1"/>
    <cellStyle name="普通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114300</xdr:rowOff>
    </xdr:from>
    <xdr:to>
      <xdr:col>2</xdr:col>
      <xdr:colOff>1205356</xdr:colOff>
      <xdr:row>3</xdr:row>
      <xdr:rowOff>69133</xdr:rowOff>
    </xdr:to>
    <xdr:pic>
      <xdr:nvPicPr>
        <xdr:cNvPr id="3" name="图片 2" descr="logo-彩色透明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4300"/>
          <a:ext cx="1459356" cy="602533"/>
        </a:xfrm>
        <a:prstGeom prst="rect">
          <a:avLst/>
        </a:prstGeom>
      </xdr:spPr>
    </xdr:pic>
    <xdr:clientData/>
  </xdr:twoCellAnchor>
  <xdr:twoCellAnchor>
    <xdr:from>
      <xdr:col>3</xdr:col>
      <xdr:colOff>736600</xdr:colOff>
      <xdr:row>30</xdr:row>
      <xdr:rowOff>228600</xdr:rowOff>
    </xdr:from>
    <xdr:to>
      <xdr:col>3</xdr:col>
      <xdr:colOff>762000</xdr:colOff>
      <xdr:row>31</xdr:row>
      <xdr:rowOff>127000</xdr:rowOff>
    </xdr:to>
    <xdr:cxnSp macro="">
      <xdr:nvCxnSpPr>
        <xdr:cNvPr id="4" name="直线箭头连接符 3"/>
        <xdr:cNvCxnSpPr/>
      </xdr:nvCxnSpPr>
      <xdr:spPr>
        <a:xfrm flipV="1">
          <a:off x="3975100" y="6096000"/>
          <a:ext cx="25400" cy="17780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tudy.163.com/course/courseMain.htm?courseId=1003418002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5"/>
  <sheetViews>
    <sheetView showGridLines="0" tabSelected="1" workbookViewId="0">
      <selection activeCell="C33" sqref="C33:C36"/>
    </sheetView>
  </sheetViews>
  <sheetFormatPr baseColWidth="10" defaultColWidth="9" defaultRowHeight="17" x14ac:dyDescent="0"/>
  <cols>
    <col min="1" max="1" width="3.5" style="4" customWidth="1"/>
    <col min="2" max="2" width="3.33203125" style="4" customWidth="1"/>
    <col min="3" max="3" width="35.6640625" style="1" customWidth="1"/>
    <col min="4" max="4" width="13.1640625" style="1" customWidth="1"/>
    <col min="5" max="5" width="14.83203125" style="2" customWidth="1"/>
    <col min="6" max="6" width="14" style="3" customWidth="1"/>
    <col min="7" max="7" width="13" style="7" customWidth="1"/>
    <col min="8" max="9" width="13.33203125" style="7" customWidth="1"/>
    <col min="10" max="10" width="3" style="4" customWidth="1"/>
    <col min="11" max="11" width="3.5" style="4" customWidth="1"/>
    <col min="12" max="12" width="14.5" style="4" customWidth="1"/>
    <col min="13" max="13" width="3.83203125" style="4" customWidth="1"/>
    <col min="14" max="14" width="10.6640625" style="4" customWidth="1"/>
    <col min="15" max="15" width="7.6640625" style="4" customWidth="1"/>
    <col min="16" max="16" width="24.1640625" style="4" customWidth="1"/>
    <col min="17" max="19" width="21" style="4" customWidth="1"/>
    <col min="20" max="23" width="9" style="4"/>
    <col min="24" max="16384" width="9" style="1"/>
  </cols>
  <sheetData>
    <row r="1" spans="1:23">
      <c r="B1" s="51" t="s">
        <v>34</v>
      </c>
      <c r="C1" s="51"/>
      <c r="D1" s="51"/>
      <c r="E1" s="51"/>
      <c r="F1" s="51"/>
      <c r="G1" s="51"/>
      <c r="H1" s="52" t="s">
        <v>0</v>
      </c>
      <c r="I1" s="52"/>
    </row>
    <row r="2" spans="1:23" ht="17" customHeight="1">
      <c r="A2" s="1"/>
      <c r="B2" s="51"/>
      <c r="C2" s="51"/>
      <c r="D2" s="51"/>
      <c r="E2" s="51"/>
      <c r="F2" s="51"/>
      <c r="G2" s="51"/>
      <c r="H2" s="52"/>
      <c r="I2" s="5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7" customHeight="1">
      <c r="A3" s="1"/>
      <c r="B3" s="51"/>
      <c r="C3" s="51"/>
      <c r="D3" s="51"/>
      <c r="E3" s="51"/>
      <c r="F3" s="51"/>
      <c r="G3" s="5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25">
      <c r="A4" s="1"/>
      <c r="C4" s="39"/>
      <c r="D4" s="39"/>
      <c r="E4" s="40" t="s">
        <v>61</v>
      </c>
      <c r="F4" s="39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s="4" customFormat="1">
      <c r="B5" s="8"/>
      <c r="C5" s="9"/>
      <c r="D5" s="9"/>
      <c r="E5" s="9"/>
      <c r="F5" s="9"/>
      <c r="G5" s="9"/>
      <c r="H5" s="9"/>
      <c r="I5" s="14"/>
      <c r="J5" s="7"/>
      <c r="K5" s="7"/>
    </row>
    <row r="6" spans="1:23" s="4" customFormat="1" ht="22">
      <c r="B6" s="10"/>
      <c r="C6" s="11" t="s">
        <v>14</v>
      </c>
      <c r="D6" s="7"/>
      <c r="E6" s="7"/>
      <c r="F6" s="7"/>
      <c r="G6" s="7"/>
      <c r="H6" s="7"/>
      <c r="I6" s="15"/>
      <c r="J6" s="7"/>
      <c r="K6" s="7"/>
    </row>
    <row r="7" spans="1:23" s="4" customFormat="1">
      <c r="B7" s="10"/>
      <c r="C7" s="3" t="s">
        <v>62</v>
      </c>
      <c r="D7" s="7"/>
      <c r="E7" s="7"/>
      <c r="F7" s="7"/>
      <c r="G7" s="7"/>
      <c r="H7" s="7"/>
      <c r="I7" s="15"/>
      <c r="J7" s="7"/>
      <c r="K7" s="7"/>
    </row>
    <row r="8" spans="1:23" s="4" customFormat="1" ht="7" customHeight="1">
      <c r="B8" s="10"/>
      <c r="C8" s="7"/>
      <c r="D8" s="7"/>
      <c r="E8" s="7"/>
      <c r="F8" s="7"/>
      <c r="G8" s="7"/>
      <c r="H8" s="7"/>
      <c r="I8" s="15"/>
      <c r="J8" s="7"/>
      <c r="K8" s="7"/>
    </row>
    <row r="9" spans="1:23" s="4" customFormat="1">
      <c r="B9" s="10"/>
      <c r="C9" s="40" t="s">
        <v>38</v>
      </c>
      <c r="D9" s="7"/>
      <c r="E9" s="7"/>
      <c r="F9" s="7"/>
      <c r="G9" s="7"/>
      <c r="H9" s="7"/>
      <c r="I9" s="15"/>
      <c r="J9" s="7"/>
      <c r="K9" s="7"/>
    </row>
    <row r="10" spans="1:23" s="4" customFormat="1" ht="6" customHeight="1">
      <c r="B10" s="10"/>
      <c r="C10" s="7"/>
      <c r="D10" s="7"/>
      <c r="E10" s="7"/>
      <c r="F10" s="7"/>
      <c r="G10" s="7"/>
      <c r="H10" s="7"/>
      <c r="I10" s="15"/>
      <c r="J10" s="7"/>
      <c r="K10" s="7"/>
    </row>
    <row r="11" spans="1:23" s="4" customFormat="1">
      <c r="B11" s="10"/>
      <c r="C11" s="40" t="s">
        <v>55</v>
      </c>
      <c r="D11" s="7"/>
      <c r="E11" s="7"/>
      <c r="F11" s="7"/>
      <c r="G11" s="7"/>
      <c r="H11" s="7"/>
      <c r="I11" s="15"/>
      <c r="J11" s="7"/>
      <c r="K11" s="7"/>
    </row>
    <row r="12" spans="1:23" s="4" customFormat="1" ht="6" customHeight="1">
      <c r="B12" s="10"/>
      <c r="C12" s="17"/>
      <c r="D12" s="18"/>
      <c r="E12" s="18"/>
      <c r="F12" s="18"/>
      <c r="G12" s="7"/>
      <c r="H12" s="7"/>
      <c r="I12" s="15"/>
      <c r="J12" s="7"/>
      <c r="K12" s="7"/>
    </row>
    <row r="13" spans="1:23" s="4" customFormat="1">
      <c r="B13" s="10"/>
      <c r="C13" s="18" t="s">
        <v>15</v>
      </c>
      <c r="D13" s="18"/>
      <c r="E13" s="18"/>
      <c r="F13" s="18"/>
      <c r="G13" s="7"/>
      <c r="H13" s="7"/>
      <c r="I13" s="15"/>
      <c r="J13" s="7"/>
      <c r="K13" s="7"/>
    </row>
    <row r="14" spans="1:23" s="4" customFormat="1" ht="4" customHeight="1">
      <c r="B14" s="10"/>
      <c r="C14" s="18"/>
      <c r="D14" s="18"/>
      <c r="E14" s="18"/>
      <c r="F14" s="18"/>
      <c r="G14" s="7"/>
      <c r="H14" s="7"/>
      <c r="I14" s="15"/>
      <c r="J14" s="7"/>
      <c r="K14" s="7"/>
    </row>
    <row r="15" spans="1:23" s="4" customFormat="1">
      <c r="B15" s="10"/>
      <c r="C15" s="18" t="s">
        <v>63</v>
      </c>
      <c r="D15" s="18"/>
      <c r="E15" s="18"/>
      <c r="F15" s="18"/>
      <c r="G15" s="7"/>
      <c r="H15" s="7"/>
      <c r="I15" s="15"/>
      <c r="J15" s="7"/>
      <c r="K15" s="7"/>
    </row>
    <row r="16" spans="1:23" s="4" customFormat="1" ht="8" customHeight="1">
      <c r="B16" s="5"/>
      <c r="C16" s="12"/>
      <c r="D16" s="13"/>
      <c r="E16" s="6"/>
      <c r="F16" s="6"/>
      <c r="G16" s="6"/>
      <c r="H16" s="6"/>
      <c r="I16" s="16"/>
      <c r="J16" s="7"/>
      <c r="K16" s="7"/>
    </row>
    <row r="17" spans="3:16" s="4" customFormat="1">
      <c r="E17" s="7"/>
      <c r="F17" s="7"/>
      <c r="G17" s="7"/>
      <c r="H17" s="7"/>
      <c r="I17" s="7"/>
    </row>
    <row r="18" spans="3:16" s="19" customFormat="1" ht="16">
      <c r="D18" s="20"/>
      <c r="E18" s="20"/>
      <c r="H18" s="21"/>
      <c r="I18" s="21"/>
    </row>
    <row r="19" spans="3:16" s="19" customFormat="1" ht="16">
      <c r="E19" s="20"/>
      <c r="F19" s="20"/>
      <c r="J19" s="21"/>
      <c r="K19" s="21"/>
    </row>
    <row r="20" spans="3:16" s="19" customFormat="1" ht="22">
      <c r="C20" s="22" t="s">
        <v>1</v>
      </c>
      <c r="E20" s="20"/>
      <c r="F20" s="20"/>
      <c r="J20" s="21"/>
      <c r="K20" s="21"/>
    </row>
    <row r="21" spans="3:16" s="19" customFormat="1" ht="23" thickBot="1">
      <c r="C21" s="24" t="s">
        <v>3</v>
      </c>
      <c r="D21" s="54">
        <v>2016</v>
      </c>
      <c r="E21" s="54">
        <v>2017</v>
      </c>
      <c r="F21" s="54">
        <v>2018</v>
      </c>
      <c r="G21" s="54">
        <v>2019</v>
      </c>
      <c r="H21" s="54">
        <v>2020</v>
      </c>
      <c r="I21" s="54">
        <v>2021</v>
      </c>
      <c r="J21" s="21"/>
      <c r="K21" s="22" t="s">
        <v>33</v>
      </c>
    </row>
    <row r="22" spans="3:16" s="19" customFormat="1">
      <c r="C22" s="53" t="s">
        <v>44</v>
      </c>
      <c r="D22" s="63"/>
      <c r="E22" s="64"/>
      <c r="F22" s="64"/>
      <c r="G22" s="64"/>
      <c r="H22" s="64"/>
      <c r="I22" s="65"/>
      <c r="J22" s="21"/>
      <c r="K22" s="19" t="s">
        <v>17</v>
      </c>
      <c r="L22" s="20" t="s">
        <v>39</v>
      </c>
    </row>
    <row r="23" spans="3:16" s="19" customFormat="1">
      <c r="C23" s="53" t="s">
        <v>45</v>
      </c>
      <c r="D23" s="66"/>
      <c r="E23" s="41"/>
      <c r="F23" s="41"/>
      <c r="G23" s="41"/>
      <c r="H23" s="41"/>
      <c r="I23" s="67"/>
      <c r="J23" s="21"/>
      <c r="K23" s="19" t="s">
        <v>18</v>
      </c>
      <c r="L23" s="20" t="s">
        <v>40</v>
      </c>
    </row>
    <row r="24" spans="3:16" s="19" customFormat="1">
      <c r="C24" s="53" t="s">
        <v>46</v>
      </c>
      <c r="D24" s="66"/>
      <c r="E24" s="41"/>
      <c r="F24" s="41"/>
      <c r="G24" s="41"/>
      <c r="H24" s="41"/>
      <c r="I24" s="67"/>
      <c r="J24" s="21"/>
      <c r="K24" s="19" t="s">
        <v>19</v>
      </c>
      <c r="L24" s="20" t="s">
        <v>41</v>
      </c>
    </row>
    <row r="25" spans="3:16" s="19" customFormat="1">
      <c r="C25" s="53" t="s">
        <v>47</v>
      </c>
      <c r="D25" s="66"/>
      <c r="E25" s="41"/>
      <c r="F25" s="41"/>
      <c r="G25" s="41"/>
      <c r="H25" s="41"/>
      <c r="I25" s="67"/>
      <c r="J25" s="21"/>
      <c r="K25" s="19" t="s">
        <v>20</v>
      </c>
      <c r="L25" s="20" t="s">
        <v>42</v>
      </c>
    </row>
    <row r="26" spans="3:16" s="19" customFormat="1" ht="18" thickBot="1">
      <c r="C26" s="53" t="s">
        <v>48</v>
      </c>
      <c r="D26" s="68"/>
      <c r="E26" s="69"/>
      <c r="F26" s="69"/>
      <c r="G26" s="69"/>
      <c r="H26" s="69"/>
      <c r="I26" s="70"/>
      <c r="J26" s="21"/>
      <c r="K26" s="19" t="s">
        <v>21</v>
      </c>
      <c r="L26" s="19" t="s">
        <v>43</v>
      </c>
    </row>
    <row r="27" spans="3:16" s="19" customFormat="1" ht="16">
      <c r="E27" s="20"/>
      <c r="F27" s="20"/>
      <c r="J27" s="21"/>
      <c r="K27" s="21"/>
    </row>
    <row r="28" spans="3:16" s="19" customFormat="1" ht="16">
      <c r="D28" s="20"/>
      <c r="E28" s="20"/>
      <c r="H28" s="21"/>
      <c r="I28" s="21"/>
    </row>
    <row r="29" spans="3:16" s="19" customFormat="1" ht="16">
      <c r="D29" s="49"/>
      <c r="E29" s="49"/>
      <c r="F29" s="49"/>
      <c r="G29" s="49"/>
      <c r="H29" s="49"/>
      <c r="I29" s="49"/>
    </row>
    <row r="30" spans="3:16" s="19" customFormat="1">
      <c r="J30" s="42"/>
      <c r="K30" s="42"/>
      <c r="L30" s="42"/>
      <c r="M30" s="42"/>
      <c r="N30" s="20"/>
      <c r="O30" s="20"/>
      <c r="P30" s="20"/>
    </row>
    <row r="31" spans="3:16" s="19" customFormat="1" ht="22">
      <c r="C31" s="22" t="s">
        <v>2</v>
      </c>
      <c r="D31" s="50" t="s">
        <v>59</v>
      </c>
      <c r="F31" s="23"/>
      <c r="G31" s="23"/>
      <c r="H31" s="23"/>
      <c r="I31" s="23"/>
      <c r="L31" s="22"/>
    </row>
    <row r="32" spans="3:16" s="19" customFormat="1" ht="23" thickBot="1">
      <c r="C32" s="24" t="s">
        <v>3</v>
      </c>
      <c r="D32" s="54">
        <v>2016</v>
      </c>
      <c r="E32" s="25">
        <f>+D32+1</f>
        <v>2017</v>
      </c>
      <c r="F32" s="25">
        <f t="shared" ref="F32:I32" si="0">+E32+1</f>
        <v>2018</v>
      </c>
      <c r="G32" s="25">
        <f t="shared" si="0"/>
        <v>2019</v>
      </c>
      <c r="H32" s="25">
        <f t="shared" si="0"/>
        <v>2020</v>
      </c>
      <c r="I32" s="25">
        <f t="shared" si="0"/>
        <v>2021</v>
      </c>
      <c r="K32" s="22" t="s">
        <v>33</v>
      </c>
    </row>
    <row r="33" spans="1:23" s="19" customFormat="1">
      <c r="C33" s="43" t="s">
        <v>16</v>
      </c>
      <c r="D33" s="59"/>
      <c r="E33" s="56">
        <f>+D33*(1+$E$22)</f>
        <v>0</v>
      </c>
      <c r="F33" s="27">
        <f>+E33*(1+$F$22)</f>
        <v>0</v>
      </c>
      <c r="G33" s="27">
        <f>+F33*(1+$G$22)</f>
        <v>0</v>
      </c>
      <c r="H33" s="27">
        <f>+G33*(1+$H$22)</f>
        <v>0</v>
      </c>
      <c r="I33" s="27">
        <f>+H33*(1+$I$22)</f>
        <v>0</v>
      </c>
      <c r="K33" s="19" t="s">
        <v>17</v>
      </c>
      <c r="L33" s="19" t="s">
        <v>49</v>
      </c>
    </row>
    <row r="34" spans="1:23" s="19" customFormat="1">
      <c r="C34" s="43" t="s">
        <v>4</v>
      </c>
      <c r="D34" s="60"/>
      <c r="E34" s="56"/>
      <c r="F34" s="27"/>
      <c r="G34" s="27"/>
      <c r="H34" s="27"/>
      <c r="I34" s="27"/>
      <c r="K34" s="19" t="s">
        <v>18</v>
      </c>
      <c r="L34" s="19" t="s">
        <v>30</v>
      </c>
    </row>
    <row r="35" spans="1:23" s="19" customFormat="1">
      <c r="C35" s="55" t="s">
        <v>35</v>
      </c>
      <c r="D35" s="61"/>
      <c r="E35" s="57">
        <f>+D35*(1+E23)*(1+E24)</f>
        <v>0</v>
      </c>
      <c r="F35" s="29">
        <f t="shared" ref="F35:I35" si="1">+E35*(1+F23)*(1+F24)</f>
        <v>0</v>
      </c>
      <c r="G35" s="29">
        <f t="shared" si="1"/>
        <v>0</v>
      </c>
      <c r="H35" s="29">
        <f t="shared" si="1"/>
        <v>0</v>
      </c>
      <c r="I35" s="29">
        <f t="shared" si="1"/>
        <v>0</v>
      </c>
      <c r="K35" s="19" t="s">
        <v>19</v>
      </c>
      <c r="L35" s="19" t="s">
        <v>50</v>
      </c>
    </row>
    <row r="36" spans="1:23" s="19" customFormat="1">
      <c r="C36" s="55" t="s">
        <v>36</v>
      </c>
      <c r="D36" s="60"/>
      <c r="E36" s="29"/>
      <c r="F36" s="29"/>
      <c r="G36" s="29"/>
      <c r="H36" s="29"/>
      <c r="I36" s="29"/>
      <c r="K36" s="19" t="s">
        <v>20</v>
      </c>
      <c r="L36" s="19" t="s">
        <v>56</v>
      </c>
    </row>
    <row r="37" spans="1:23" s="19" customFormat="1" ht="18" thickBot="1">
      <c r="C37" s="55" t="s">
        <v>37</v>
      </c>
      <c r="D37" s="62"/>
      <c r="E37" s="56"/>
      <c r="F37" s="27"/>
      <c r="G37" s="27"/>
      <c r="H37" s="27"/>
      <c r="I37" s="27"/>
      <c r="K37" s="19" t="s">
        <v>21</v>
      </c>
      <c r="L37" s="19" t="s">
        <v>51</v>
      </c>
    </row>
    <row r="38" spans="1:23" s="19" customFormat="1">
      <c r="C38" s="30" t="s">
        <v>5</v>
      </c>
      <c r="D38" s="58">
        <f>+D33+D34-D35-D36-D37</f>
        <v>0</v>
      </c>
      <c r="E38" s="31">
        <f t="shared" ref="E38:I38" si="2">+E33+E34-E35-E36-E37</f>
        <v>0</v>
      </c>
      <c r="F38" s="31">
        <f t="shared" si="2"/>
        <v>0</v>
      </c>
      <c r="G38" s="31">
        <f t="shared" si="2"/>
        <v>0</v>
      </c>
      <c r="H38" s="31">
        <f t="shared" si="2"/>
        <v>0</v>
      </c>
      <c r="I38" s="31">
        <f t="shared" si="2"/>
        <v>0</v>
      </c>
      <c r="K38" s="19" t="s">
        <v>22</v>
      </c>
      <c r="L38" s="19" t="s">
        <v>31</v>
      </c>
    </row>
    <row r="39" spans="1:23" s="19" customFormat="1" ht="18" thickBot="1">
      <c r="C39" s="43"/>
      <c r="D39" s="73"/>
      <c r="E39" s="44"/>
      <c r="F39" s="44"/>
      <c r="G39" s="44"/>
      <c r="H39" s="44"/>
      <c r="I39" s="45"/>
    </row>
    <row r="40" spans="1:23" s="19" customFormat="1" ht="18" thickBot="1">
      <c r="C40" s="71" t="s">
        <v>6</v>
      </c>
      <c r="D40" s="74"/>
      <c r="E40" s="72">
        <f>+D47</f>
        <v>0</v>
      </c>
      <c r="F40" s="33">
        <f>E47</f>
        <v>0</v>
      </c>
      <c r="G40" s="33">
        <f>F47</f>
        <v>0</v>
      </c>
      <c r="H40" s="33">
        <f>G47</f>
        <v>0</v>
      </c>
      <c r="I40" s="33">
        <f>H47</f>
        <v>0</v>
      </c>
      <c r="K40" s="19" t="s">
        <v>23</v>
      </c>
      <c r="L40" s="19" t="s">
        <v>57</v>
      </c>
    </row>
    <row r="41" spans="1:23" s="19" customFormat="1">
      <c r="C41" s="28" t="s">
        <v>7</v>
      </c>
      <c r="D41" s="57"/>
      <c r="E41" s="29"/>
      <c r="F41" s="29"/>
      <c r="G41" s="29"/>
      <c r="H41" s="29"/>
      <c r="I41" s="29"/>
      <c r="K41" s="19" t="s">
        <v>24</v>
      </c>
      <c r="L41" s="19" t="s">
        <v>52</v>
      </c>
    </row>
    <row r="42" spans="1:23" s="19" customFormat="1" ht="34">
      <c r="C42" s="34" t="s">
        <v>8</v>
      </c>
      <c r="D42" s="35">
        <f>+D38/2</f>
        <v>0</v>
      </c>
      <c r="E42" s="27">
        <f t="shared" ref="E42:I42" si="3">E38/2</f>
        <v>0</v>
      </c>
      <c r="F42" s="27">
        <f t="shared" si="3"/>
        <v>0</v>
      </c>
      <c r="G42" s="27">
        <f t="shared" si="3"/>
        <v>0</v>
      </c>
      <c r="H42" s="27">
        <f t="shared" si="3"/>
        <v>0</v>
      </c>
      <c r="I42" s="27">
        <f t="shared" si="3"/>
        <v>0</v>
      </c>
      <c r="K42" s="19" t="s">
        <v>25</v>
      </c>
      <c r="L42" s="19" t="s">
        <v>60</v>
      </c>
    </row>
    <row r="43" spans="1:23" s="19" customFormat="1">
      <c r="C43" s="36" t="s">
        <v>9</v>
      </c>
      <c r="D43" s="37">
        <f>+D40+D42</f>
        <v>0</v>
      </c>
      <c r="E43" s="33">
        <f>E40-E41+E42</f>
        <v>0</v>
      </c>
      <c r="F43" s="33">
        <f t="shared" ref="F43:I43" si="4">F40-F41+F42</f>
        <v>0</v>
      </c>
      <c r="G43" s="33">
        <f t="shared" si="4"/>
        <v>0</v>
      </c>
      <c r="H43" s="33">
        <f t="shared" si="4"/>
        <v>0</v>
      </c>
      <c r="I43" s="33">
        <f t="shared" si="4"/>
        <v>0</v>
      </c>
      <c r="K43" s="19" t="s">
        <v>26</v>
      </c>
      <c r="L43" s="19" t="s">
        <v>32</v>
      </c>
    </row>
    <row r="44" spans="1:23" s="19" customFormat="1">
      <c r="C44" s="46"/>
      <c r="D44" s="47"/>
      <c r="E44" s="47"/>
      <c r="F44" s="47"/>
      <c r="G44" s="47"/>
      <c r="H44" s="47"/>
      <c r="I44" s="48"/>
    </row>
    <row r="45" spans="1:23" s="19" customFormat="1" ht="18" thickBot="1">
      <c r="C45" s="26" t="s">
        <v>10</v>
      </c>
      <c r="D45" s="75" t="s">
        <v>11</v>
      </c>
      <c r="E45" s="38">
        <f>+E25</f>
        <v>0</v>
      </c>
      <c r="F45" s="38">
        <f t="shared" ref="F45:I45" si="5">+F25</f>
        <v>0</v>
      </c>
      <c r="G45" s="38">
        <f t="shared" si="5"/>
        <v>0</v>
      </c>
      <c r="H45" s="38">
        <f t="shared" si="5"/>
        <v>0</v>
      </c>
      <c r="I45" s="38">
        <f t="shared" si="5"/>
        <v>0</v>
      </c>
      <c r="K45" s="19" t="s">
        <v>29</v>
      </c>
      <c r="L45" s="19" t="s">
        <v>58</v>
      </c>
    </row>
    <row r="46" spans="1:23" s="19" customFormat="1" ht="18" thickBot="1">
      <c r="C46" s="43" t="s">
        <v>12</v>
      </c>
      <c r="D46" s="77"/>
      <c r="E46" s="57">
        <f t="shared" ref="E46:I46" si="6">E43*E45</f>
        <v>0</v>
      </c>
      <c r="F46" s="29">
        <f t="shared" si="6"/>
        <v>0</v>
      </c>
      <c r="G46" s="29">
        <f t="shared" si="6"/>
        <v>0</v>
      </c>
      <c r="H46" s="29">
        <f t="shared" si="6"/>
        <v>0</v>
      </c>
      <c r="I46" s="29">
        <f t="shared" si="6"/>
        <v>0</v>
      </c>
      <c r="K46" s="19" t="s">
        <v>27</v>
      </c>
      <c r="L46" s="19" t="s">
        <v>53</v>
      </c>
    </row>
    <row r="47" spans="1:23" s="19" customFormat="1">
      <c r="C47" s="30" t="s">
        <v>13</v>
      </c>
      <c r="D47" s="76">
        <f>+D40-D41+D42+D46</f>
        <v>0</v>
      </c>
      <c r="E47" s="32">
        <f>+E40-E41+E38+E46</f>
        <v>0</v>
      </c>
      <c r="F47" s="32">
        <f t="shared" ref="F47:I47" si="7">+F40-F41+F38+F46</f>
        <v>0</v>
      </c>
      <c r="G47" s="32">
        <f t="shared" si="7"/>
        <v>0</v>
      </c>
      <c r="H47" s="32">
        <f t="shared" si="7"/>
        <v>0</v>
      </c>
      <c r="I47" s="32">
        <f t="shared" si="7"/>
        <v>0</v>
      </c>
      <c r="K47" s="19" t="s">
        <v>28</v>
      </c>
      <c r="L47" s="19" t="s">
        <v>54</v>
      </c>
    </row>
    <row r="48" spans="1:23">
      <c r="A48" s="1"/>
      <c r="B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55" spans="1:23">
      <c r="A55" s="1"/>
      <c r="B55" s="1"/>
      <c r="E55" s="1"/>
      <c r="F55" s="1"/>
      <c r="G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</sheetData>
  <mergeCells count="2">
    <mergeCell ref="B1:G3"/>
    <mergeCell ref="H1:I2"/>
  </mergeCells>
  <phoneticPr fontId="17" type="noConversion"/>
  <hyperlinks>
    <hyperlink ref="H1" r:id="rId1" display="重新学习课程"/>
  </hyperlinks>
  <pageMargins left="0.75" right="0.75" top="1" bottom="1" header="0.5" footer="0.5"/>
  <pageSetup paperSize="9" orientation="portrait" horizontalDpi="4294967292" verticalDpi="4294967292"/>
  <ignoredErrors>
    <ignoredError sqref="C34 C39 C44 C41 C42:D43 C45:D45 C38 C40 E40 C47:D47 C46 I39:I40 D38:I38 I42:I45 E34:H34 E33:I33 E35:I35 I34 I46:I47 E45:H45" emptyCellReference="1"/>
    <ignoredError sqref="F40:H40 E42:E43 E46:H47 F42:H43" evalError="1" emptyCellReference="1"/>
  </ignoredErrors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2.5 财务预测</vt:lpstr>
    </vt:vector>
  </TitlesOfParts>
  <Company>Citi Bank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 Li</dc:creator>
  <cp:lastModifiedBy>Meng Li</cp:lastModifiedBy>
  <cp:lastPrinted>2016-10-12T09:52:00Z</cp:lastPrinted>
  <dcterms:created xsi:type="dcterms:W3CDTF">2016-10-10T08:52:00Z</dcterms:created>
  <dcterms:modified xsi:type="dcterms:W3CDTF">2016-12-09T08:46:46Z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2052-10.1.0.6028</vt:lpwstr>
  </property>
</Properties>
</file>