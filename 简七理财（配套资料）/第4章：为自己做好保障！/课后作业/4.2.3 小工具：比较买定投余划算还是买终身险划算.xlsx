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0910"/>
  <workbookPr autoCompressPictures="0"/>
  <bookViews>
    <workbookView xWindow="6020" yWindow="0" windowWidth="25600" windowHeight="14000"/>
  </bookViews>
  <sheets>
    <sheet name="对比买定投余和终身险" sheetId="1" r:id="rId1"/>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 i="1" l="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G13"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F53" i="1"/>
  <c r="G53" i="1"/>
  <c r="H53" i="1"/>
  <c r="C54" i="1"/>
  <c r="E54" i="1"/>
  <c r="F54" i="1"/>
  <c r="G54" i="1"/>
  <c r="H54" i="1"/>
  <c r="C55" i="1"/>
  <c r="E55" i="1"/>
  <c r="F55" i="1"/>
  <c r="G55" i="1"/>
  <c r="H55" i="1"/>
  <c r="C56" i="1"/>
  <c r="E56" i="1"/>
  <c r="F56" i="1"/>
  <c r="G56" i="1"/>
  <c r="H56" i="1"/>
  <c r="C57" i="1"/>
  <c r="E57" i="1"/>
  <c r="F57" i="1"/>
  <c r="G57" i="1"/>
  <c r="H57" i="1"/>
  <c r="C58" i="1"/>
  <c r="E58" i="1"/>
  <c r="F58" i="1"/>
  <c r="G58" i="1"/>
  <c r="H58" i="1"/>
  <c r="C59" i="1"/>
  <c r="E59" i="1"/>
  <c r="F59" i="1"/>
  <c r="G59" i="1"/>
  <c r="H59" i="1"/>
  <c r="C60" i="1"/>
  <c r="E60" i="1"/>
  <c r="F60" i="1"/>
  <c r="G60" i="1"/>
  <c r="H60" i="1"/>
  <c r="C61" i="1"/>
  <c r="E61" i="1"/>
  <c r="F61" i="1"/>
  <c r="G61" i="1"/>
  <c r="H61" i="1"/>
  <c r="C62" i="1"/>
  <c r="E62" i="1"/>
  <c r="F62" i="1"/>
  <c r="G62" i="1"/>
  <c r="H62" i="1"/>
  <c r="F36" i="1"/>
  <c r="G36" i="1"/>
  <c r="H36" i="1"/>
  <c r="F37" i="1"/>
  <c r="G37" i="1"/>
  <c r="H37" i="1"/>
  <c r="F38" i="1"/>
  <c r="G38" i="1"/>
  <c r="H38" i="1"/>
  <c r="F39" i="1"/>
  <c r="G39" i="1"/>
  <c r="H39" i="1"/>
  <c r="F40" i="1"/>
  <c r="G40" i="1"/>
  <c r="H40" i="1"/>
  <c r="F41" i="1"/>
  <c r="G41" i="1"/>
  <c r="H41" i="1"/>
  <c r="F42" i="1"/>
  <c r="G42" i="1"/>
  <c r="H42" i="1"/>
  <c r="F43" i="1"/>
  <c r="G43" i="1"/>
  <c r="H43" i="1"/>
  <c r="F44" i="1"/>
  <c r="G44" i="1"/>
  <c r="H44" i="1"/>
  <c r="F45" i="1"/>
  <c r="G45" i="1"/>
  <c r="H45" i="1"/>
  <c r="F46" i="1"/>
  <c r="G46" i="1"/>
  <c r="H46" i="1"/>
  <c r="F47" i="1"/>
  <c r="G47" i="1"/>
  <c r="H47" i="1"/>
  <c r="F48" i="1"/>
  <c r="G48" i="1"/>
  <c r="H48" i="1"/>
  <c r="F49" i="1"/>
  <c r="G49" i="1"/>
  <c r="H49" i="1"/>
  <c r="F50" i="1"/>
  <c r="G50" i="1"/>
  <c r="H50" i="1"/>
  <c r="F51" i="1"/>
  <c r="G51" i="1"/>
  <c r="H51" i="1"/>
  <c r="F52" i="1"/>
  <c r="G52" i="1"/>
  <c r="H52" i="1"/>
  <c r="F20" i="1"/>
  <c r="G20" i="1"/>
  <c r="H20" i="1"/>
  <c r="F21" i="1"/>
  <c r="G21" i="1"/>
  <c r="H21" i="1"/>
  <c r="F22" i="1"/>
  <c r="G22" i="1"/>
  <c r="H22" i="1"/>
  <c r="F23" i="1"/>
  <c r="G23" i="1"/>
  <c r="H23" i="1"/>
  <c r="F24" i="1"/>
  <c r="G24" i="1"/>
  <c r="H24" i="1"/>
  <c r="F25" i="1"/>
  <c r="G25" i="1"/>
  <c r="H25" i="1"/>
  <c r="F26" i="1"/>
  <c r="G26" i="1"/>
  <c r="H26" i="1"/>
  <c r="F27" i="1"/>
  <c r="G27" i="1"/>
  <c r="H27" i="1"/>
  <c r="F28" i="1"/>
  <c r="G28" i="1"/>
  <c r="H28" i="1"/>
  <c r="F29" i="1"/>
  <c r="G29" i="1"/>
  <c r="H29" i="1"/>
  <c r="F30" i="1"/>
  <c r="G30" i="1"/>
  <c r="H30" i="1"/>
  <c r="F31" i="1"/>
  <c r="G31" i="1"/>
  <c r="H31" i="1"/>
  <c r="F32" i="1"/>
  <c r="G32" i="1"/>
  <c r="H32" i="1"/>
  <c r="F33" i="1"/>
  <c r="G33" i="1"/>
  <c r="H33" i="1"/>
  <c r="F34" i="1"/>
  <c r="G34" i="1"/>
  <c r="H34" i="1"/>
  <c r="F35" i="1"/>
  <c r="G35" i="1"/>
  <c r="H35" i="1"/>
  <c r="F19" i="1"/>
  <c r="G19" i="1"/>
  <c r="H19" i="1"/>
</calcChain>
</file>

<file path=xl/sharedStrings.xml><?xml version="1.0" encoding="utf-8"?>
<sst xmlns="http://schemas.openxmlformats.org/spreadsheetml/2006/main" count="26" uniqueCount="26">
  <si>
    <t>定期重疾险保额</t>
    <phoneticPr fontId="1" type="noConversion"/>
  </si>
  <si>
    <t>保额（元）</t>
    <phoneticPr fontId="1" type="noConversion"/>
  </si>
  <si>
    <t>每年保费</t>
    <phoneticPr fontId="1" type="noConversion"/>
  </si>
  <si>
    <t>两者之间的差额</t>
    <phoneticPr fontId="1" type="noConversion"/>
  </si>
  <si>
    <t>你的年龄</t>
    <phoneticPr fontId="1" type="noConversion"/>
  </si>
  <si>
    <t>自己理财所得</t>
    <phoneticPr fontId="1" type="noConversion"/>
  </si>
  <si>
    <t>定期保险的保额</t>
    <phoneticPr fontId="1" type="noConversion"/>
  </si>
  <si>
    <t>实际总保额</t>
    <phoneticPr fontId="1" type="noConversion"/>
  </si>
  <si>
    <t>终身保额</t>
    <phoneticPr fontId="1" type="noConversion"/>
  </si>
  <si>
    <t>A方案：买定投余</t>
    <phoneticPr fontId="1" type="noConversion"/>
  </si>
  <si>
    <t>B方案
终身保障</t>
    <phoneticPr fontId="1" type="noConversion"/>
  </si>
  <si>
    <t>A方案 vs B方案</t>
    <phoneticPr fontId="1" type="noConversion"/>
  </si>
  <si>
    <t>如果是正数，说明买定投余的方式划算，反之，则买终身的划算。</t>
    <phoneticPr fontId="1" type="noConversion"/>
  </si>
  <si>
    <t>保障期间</t>
    <phoneticPr fontId="1" type="noConversion"/>
  </si>
  <si>
    <t>20年</t>
    <phoneticPr fontId="1" type="noConversion"/>
  </si>
  <si>
    <t>终身</t>
    <phoneticPr fontId="1" type="noConversion"/>
  </si>
  <si>
    <t>起保年龄</t>
    <phoneticPr fontId="1" type="noConversion"/>
  </si>
  <si>
    <t>预计年投资回报
（填写%）</t>
    <phoneticPr fontId="1" type="noConversion"/>
  </si>
  <si>
    <t>课时4.2.3 定期or终身，消费or返还，保险到底选哪种？</t>
    <phoneticPr fontId="1" type="noConversion"/>
  </si>
  <si>
    <t>说明：</t>
    <phoneticPr fontId="1" type="noConversion"/>
  </si>
  <si>
    <t>终身重疾险保额</t>
    <phoneticPr fontId="1" type="noConversion"/>
  </si>
  <si>
    <t>1. 这张表是用来辅助计算定期重疾险和终身重疾险保额哪个更划算的小工具</t>
    <phoneticPr fontId="1" type="noConversion"/>
  </si>
  <si>
    <t>2. 填写的时候根据所对比的两个保险的情况修改绿色的标注部分即可，其它部分会自动进行计算，具体原理可以参考4.2.3课时里的讲解</t>
    <phoneticPr fontId="1" type="noConversion"/>
  </si>
  <si>
    <t>《跟简七学理财》学习手册</t>
    <phoneticPr fontId="1" type="noConversion"/>
  </si>
  <si>
    <t>点击学习课程</t>
    <phoneticPr fontId="12" type="noConversion"/>
  </si>
  <si>
    <t xml:space="preserve">3. 课程地址：http://study.163.com/course/courseMain.htm?courseId=1003418002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</si>
</sst>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76" formatCode="_-* #,##0_-;\-* #,##0_-;_-* &quot;-&quot;??_-;_-@_-"/>
  </numFmts>
  <fonts count="13" x14ac:knownFonts="1">
    <font>
      <sz val="11"/>
      <color theme="1"/>
      <name val="宋体"/>
      <family val="2"/>
      <charset val="134"/>
      <scheme val="minor"/>
    </font>
    <font>
      <sz val="9"/>
      <name val="宋体"/>
      <family val="2"/>
      <charset val="134"/>
      <scheme val="minor"/>
    </font>
    <font>
      <sz val="11"/>
      <color theme="1"/>
      <name val="宋体"/>
      <family val="2"/>
      <charset val="134"/>
      <scheme val="minor"/>
    </font>
    <font>
      <sz val="11"/>
      <color theme="1"/>
      <name val="微团"/>
      <charset val="134"/>
    </font>
    <font>
      <sz val="14"/>
      <color theme="1"/>
      <name val="微团"/>
      <charset val="134"/>
    </font>
    <font>
      <u/>
      <sz val="11"/>
      <color theme="10"/>
      <name val="宋体"/>
      <family val="2"/>
      <charset val="134"/>
      <scheme val="minor"/>
    </font>
    <font>
      <u/>
      <sz val="11"/>
      <color theme="11"/>
      <name val="宋体"/>
      <family val="2"/>
      <charset val="134"/>
      <scheme val="minor"/>
    </font>
    <font>
      <sz val="16"/>
      <color theme="1"/>
      <name val="微团"/>
      <charset val="134"/>
    </font>
    <font>
      <sz val="18"/>
      <color rgb="FFFF6600"/>
      <name val="微团"/>
      <charset val="134"/>
    </font>
    <font>
      <sz val="20"/>
      <color theme="1"/>
      <name val="微软雅黑"/>
      <charset val="134"/>
    </font>
    <font>
      <sz val="12"/>
      <color theme="1"/>
      <name val="微团"/>
      <charset val="134"/>
    </font>
    <font>
      <u/>
      <sz val="12"/>
      <color theme="10"/>
      <name val="微软雅黑"/>
      <charset val="134"/>
    </font>
    <font>
      <sz val="9"/>
      <name val="宋体"/>
      <charset val="134"/>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5"/>
        <bgColor indexed="64"/>
      </patternFill>
    </fill>
  </fills>
  <borders count="18">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9">
    <xf numFmtId="0" fontId="0" fillId="0" borderId="0">
      <alignment vertical="center"/>
    </xf>
    <xf numFmtId="43" fontId="2" fillId="0" borderId="0" applyFont="0" applyFill="0" applyBorder="0" applyAlignment="0" applyProtection="0"/>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cellStyleXfs>
  <cellXfs count="45">
    <xf numFmtId="0" fontId="0" fillId="0" borderId="0" xfId="0">
      <alignment vertical="center"/>
    </xf>
    <xf numFmtId="0" fontId="3" fillId="0" borderId="0" xfId="0" applyFont="1">
      <alignment vertical="center"/>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applyAlignment="1">
      <alignment vertical="center" wrapText="1"/>
    </xf>
    <xf numFmtId="9" fontId="3" fillId="0" borderId="0" xfId="0" applyNumberFormat="1" applyFont="1" applyAlignment="1">
      <alignment vertical="center" wrapText="1"/>
    </xf>
    <xf numFmtId="9" fontId="4" fillId="2"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176" fontId="4" fillId="0" borderId="1" xfId="1" applyNumberFormat="1" applyFont="1" applyBorder="1" applyAlignment="1">
      <alignment vertical="center" wrapText="1"/>
    </xf>
    <xf numFmtId="176" fontId="4" fillId="3" borderId="1" xfId="1"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9" fontId="4" fillId="2" borderId="2" xfId="0" applyNumberFormat="1"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9" fontId="4" fillId="3" borderId="2" xfId="0" applyNumberFormat="1" applyFont="1" applyFill="1" applyBorder="1" applyAlignment="1">
      <alignment horizontal="center" vertical="center" wrapText="1"/>
    </xf>
    <xf numFmtId="9" fontId="4" fillId="3" borderId="3" xfId="0" applyNumberFormat="1" applyFont="1" applyFill="1" applyBorder="1" applyAlignment="1">
      <alignment horizontal="center" vertical="center" wrapText="1"/>
    </xf>
    <xf numFmtId="0" fontId="3" fillId="0" borderId="0" xfId="0" applyFont="1" applyFill="1">
      <alignment vertical="center"/>
    </xf>
    <xf numFmtId="0" fontId="9" fillId="0" borderId="0" xfId="0" applyFont="1" applyFill="1" applyAlignment="1">
      <alignment horizontal="center" vertical="center"/>
    </xf>
    <xf numFmtId="0" fontId="10" fillId="0" borderId="0" xfId="0" applyFont="1">
      <alignment vertical="center"/>
    </xf>
    <xf numFmtId="0" fontId="3" fillId="0" borderId="10" xfId="0" applyFont="1" applyBorder="1">
      <alignment vertical="center"/>
    </xf>
    <xf numFmtId="0" fontId="3" fillId="0" borderId="11" xfId="0" applyFont="1" applyBorder="1">
      <alignment vertical="center"/>
    </xf>
    <xf numFmtId="0" fontId="10" fillId="0" borderId="11" xfId="0" applyFont="1" applyBorder="1">
      <alignment vertical="center"/>
    </xf>
    <xf numFmtId="0" fontId="3" fillId="0" borderId="12" xfId="0" applyFont="1" applyBorder="1">
      <alignment vertical="center"/>
    </xf>
    <xf numFmtId="0" fontId="3" fillId="0" borderId="13" xfId="0" applyFont="1" applyBorder="1">
      <alignment vertical="center"/>
    </xf>
    <xf numFmtId="0" fontId="3" fillId="0" borderId="0" xfId="0" applyFont="1" applyBorder="1">
      <alignment vertical="center"/>
    </xf>
    <xf numFmtId="0" fontId="10" fillId="0" borderId="0" xfId="0" applyFont="1" applyBorder="1">
      <alignment vertical="center"/>
    </xf>
    <xf numFmtId="0" fontId="3" fillId="0" borderId="14" xfId="0" applyFont="1" applyBorder="1">
      <alignment vertical="center"/>
    </xf>
    <xf numFmtId="0" fontId="3" fillId="0" borderId="16" xfId="0" applyFont="1" applyBorder="1">
      <alignment vertical="center"/>
    </xf>
    <xf numFmtId="0" fontId="3" fillId="0" borderId="17" xfId="0" applyFont="1" applyBorder="1">
      <alignment vertical="center"/>
    </xf>
    <xf numFmtId="0" fontId="3" fillId="0" borderId="15" xfId="0" applyFont="1" applyBorder="1">
      <alignment vertical="center"/>
    </xf>
    <xf numFmtId="0" fontId="7" fillId="0" borderId="0" xfId="0" applyFont="1" applyBorder="1">
      <alignment vertical="center"/>
    </xf>
    <xf numFmtId="0" fontId="10" fillId="0" borderId="16" xfId="0" applyFont="1" applyBorder="1">
      <alignment vertical="center"/>
    </xf>
    <xf numFmtId="0" fontId="9" fillId="0" borderId="0" xfId="0" applyFont="1" applyFill="1" applyAlignment="1">
      <alignment vertical="center"/>
    </xf>
    <xf numFmtId="0" fontId="11" fillId="0" borderId="0" xfId="28" applyFont="1" applyFill="1" applyBorder="1" applyAlignment="1">
      <alignment vertical="center"/>
    </xf>
    <xf numFmtId="0" fontId="11" fillId="4" borderId="0" xfId="28" applyFont="1" applyFill="1" applyBorder="1" applyAlignment="1">
      <alignment horizontal="center" vertical="center"/>
    </xf>
  </cellXfs>
  <cellStyles count="29">
    <cellStyle name="超链接" xfId="2" builtinId="8" hidden="1"/>
    <cellStyle name="超链接" xfId="4" builtinId="8" hidden="1"/>
    <cellStyle name="超链接" xfId="6" builtinId="8" hidden="1"/>
    <cellStyle name="超链接" xfId="8" builtinId="8" hidden="1"/>
    <cellStyle name="超链接" xfId="10" builtinId="8" hidden="1"/>
    <cellStyle name="超链接" xfId="12" builtinId="8" hidden="1"/>
    <cellStyle name="超链接" xfId="14" builtinId="8" hidden="1"/>
    <cellStyle name="超链接" xfId="16" builtinId="8" hidden="1"/>
    <cellStyle name="超链接" xfId="18" builtinId="8" hidden="1"/>
    <cellStyle name="超链接" xfId="20" builtinId="8" hidden="1"/>
    <cellStyle name="超链接" xfId="22" builtinId="8" hidden="1"/>
    <cellStyle name="超链接" xfId="24" builtinId="8" hidden="1"/>
    <cellStyle name="超链接" xfId="26" builtinId="8" hidden="1"/>
    <cellStyle name="超链接" xfId="28" builtinId="8"/>
    <cellStyle name="逗号" xfId="1" builtinId="3"/>
    <cellStyle name="访问过的超链接" xfId="3" builtinId="9" hidden="1"/>
    <cellStyle name="访问过的超链接" xfId="5" builtinId="9" hidden="1"/>
    <cellStyle name="访问过的超链接" xfId="7" builtinId="9" hidden="1"/>
    <cellStyle name="访问过的超链接" xfId="9" builtinId="9" hidden="1"/>
    <cellStyle name="访问过的超链接" xfId="11" builtinId="9" hidden="1"/>
    <cellStyle name="访问过的超链接" xfId="13" builtinId="9" hidden="1"/>
    <cellStyle name="访问过的超链接" xfId="15" builtinId="9" hidden="1"/>
    <cellStyle name="访问过的超链接" xfId="17" builtinId="9" hidden="1"/>
    <cellStyle name="访问过的超链接" xfId="19" builtinId="9" hidden="1"/>
    <cellStyle name="访问过的超链接" xfId="21" builtinId="9" hidden="1"/>
    <cellStyle name="访问过的超链接" xfId="23" builtinId="9" hidden="1"/>
    <cellStyle name="访问过的超链接" xfId="25" builtinId="9" hidden="1"/>
    <cellStyle name="访问过的超链接" xfId="27" builtinId="9" hidden="1"/>
    <cellStyle name="普通"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127000</xdr:colOff>
      <xdr:row>25</xdr:row>
      <xdr:rowOff>12700</xdr:rowOff>
    </xdr:from>
    <xdr:to>
      <xdr:col>8</xdr:col>
      <xdr:colOff>368300</xdr:colOff>
      <xdr:row>26</xdr:row>
      <xdr:rowOff>139700</xdr:rowOff>
    </xdr:to>
    <xdr:sp macro="" textlink="">
      <xdr:nvSpPr>
        <xdr:cNvPr id="3" name="右箭头 2"/>
        <xdr:cNvSpPr/>
      </xdr:nvSpPr>
      <xdr:spPr>
        <a:xfrm>
          <a:off x="10604500" y="4216400"/>
          <a:ext cx="241300" cy="342900"/>
        </a:xfrm>
        <a:prstGeom prst="rightArrow">
          <a:avLst/>
        </a:prstGeom>
        <a:solidFill>
          <a:schemeClr val="accent4"/>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0</xdr:col>
      <xdr:colOff>596900</xdr:colOff>
      <xdr:row>0</xdr:row>
      <xdr:rowOff>0</xdr:rowOff>
    </xdr:from>
    <xdr:to>
      <xdr:col>2</xdr:col>
      <xdr:colOff>1270000</xdr:colOff>
      <xdr:row>3</xdr:row>
      <xdr:rowOff>38100</xdr:rowOff>
    </xdr:to>
    <xdr:pic>
      <xdr:nvPicPr>
        <xdr:cNvPr id="4" name="图片 13" descr="logo-彩色透明.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900" y="0"/>
          <a:ext cx="14605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udy.163.com/course/courseMain.htm?courseId=1003418002"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3"/>
  <sheetViews>
    <sheetView showGridLines="0" tabSelected="1" workbookViewId="0">
      <selection activeCell="J13" sqref="J13"/>
    </sheetView>
  </sheetViews>
  <sheetFormatPr baseColWidth="10" defaultColWidth="8.83203125" defaultRowHeight="12" x14ac:dyDescent="0"/>
  <cols>
    <col min="1" max="1" width="4.5" style="1" customWidth="1"/>
    <col min="2" max="2" width="2.5" style="1" customWidth="1"/>
    <col min="3" max="3" width="21.1640625" style="1" customWidth="1"/>
    <col min="4" max="4" width="22.33203125" style="1" customWidth="1"/>
    <col min="5" max="5" width="20.1640625" style="1" customWidth="1"/>
    <col min="6" max="6" width="21.6640625" style="1" customWidth="1"/>
    <col min="7" max="7" width="20.5" style="1" customWidth="1"/>
    <col min="8" max="8" width="22.83203125" style="1" customWidth="1"/>
    <col min="9" max="9" width="14.1640625" style="1" customWidth="1"/>
    <col min="10" max="10" width="21.6640625" style="1" customWidth="1"/>
    <col min="11" max="11" width="49.5" style="1" customWidth="1"/>
    <col min="12" max="16384" width="8.83203125" style="1"/>
  </cols>
  <sheetData>
    <row r="1" spans="2:10" s="26" customFormat="1" ht="16" customHeight="1">
      <c r="B1" s="27" t="s">
        <v>23</v>
      </c>
      <c r="C1" s="27"/>
      <c r="D1" s="27"/>
      <c r="E1" s="27"/>
      <c r="F1" s="27"/>
      <c r="G1" s="27"/>
      <c r="H1" s="27"/>
      <c r="I1" s="44" t="s">
        <v>24</v>
      </c>
      <c r="J1" s="43"/>
    </row>
    <row r="2" spans="2:10" s="26" customFormat="1" ht="16" customHeight="1">
      <c r="B2" s="27"/>
      <c r="C2" s="27"/>
      <c r="D2" s="27"/>
      <c r="E2" s="27"/>
      <c r="F2" s="27"/>
      <c r="G2" s="27"/>
      <c r="H2" s="27"/>
      <c r="I2" s="44"/>
      <c r="J2" s="43"/>
    </row>
    <row r="3" spans="2:10" s="26" customFormat="1" ht="12" customHeight="1">
      <c r="C3" s="42"/>
      <c r="D3" s="42"/>
      <c r="E3" s="42"/>
      <c r="F3" s="42"/>
      <c r="G3" s="42"/>
      <c r="H3" s="42"/>
      <c r="I3" s="42"/>
    </row>
    <row r="4" spans="2:10" ht="21" customHeight="1">
      <c r="F4" s="28" t="s">
        <v>18</v>
      </c>
    </row>
    <row r="5" spans="2:10" ht="13">
      <c r="B5" s="29"/>
      <c r="C5" s="30"/>
      <c r="D5" s="30"/>
      <c r="E5" s="30"/>
      <c r="F5" s="31"/>
      <c r="G5" s="30"/>
      <c r="H5" s="30"/>
      <c r="I5" s="32"/>
    </row>
    <row r="6" spans="2:10" ht="17">
      <c r="B6" s="33"/>
      <c r="C6" s="40" t="s">
        <v>19</v>
      </c>
      <c r="D6" s="35"/>
      <c r="E6" s="34"/>
      <c r="F6" s="35"/>
      <c r="G6" s="34"/>
      <c r="H6" s="34"/>
      <c r="I6" s="36"/>
    </row>
    <row r="7" spans="2:10" ht="13">
      <c r="B7" s="33"/>
      <c r="C7" s="35" t="s">
        <v>21</v>
      </c>
      <c r="D7" s="35"/>
      <c r="E7" s="34"/>
      <c r="F7" s="35"/>
      <c r="G7" s="34"/>
      <c r="H7" s="34"/>
      <c r="I7" s="36"/>
    </row>
    <row r="8" spans="2:10" ht="13">
      <c r="B8" s="33"/>
      <c r="C8" s="34" t="s">
        <v>22</v>
      </c>
      <c r="D8" s="34"/>
      <c r="E8" s="34"/>
      <c r="F8" s="35"/>
      <c r="G8" s="34"/>
      <c r="H8" s="34"/>
      <c r="I8" s="36"/>
    </row>
    <row r="9" spans="2:10" ht="13">
      <c r="B9" s="33"/>
      <c r="C9" s="34" t="s">
        <v>25</v>
      </c>
      <c r="D9" s="34"/>
      <c r="E9" s="34"/>
      <c r="F9" s="35"/>
      <c r="G9" s="34"/>
      <c r="H9" s="34"/>
      <c r="I9" s="36"/>
    </row>
    <row r="10" spans="2:10" ht="13">
      <c r="B10" s="39"/>
      <c r="C10" s="37"/>
      <c r="D10" s="37"/>
      <c r="E10" s="37"/>
      <c r="F10" s="41"/>
      <c r="G10" s="37"/>
      <c r="H10" s="37"/>
      <c r="I10" s="38"/>
    </row>
    <row r="11" spans="2:10" ht="13" thickBot="1"/>
    <row r="12" spans="2:10" ht="42" customHeight="1" thickTop="1" thickBot="1">
      <c r="C12" s="2"/>
      <c r="D12" s="2" t="s">
        <v>1</v>
      </c>
      <c r="E12" s="2" t="s">
        <v>13</v>
      </c>
      <c r="F12" s="2" t="s">
        <v>2</v>
      </c>
      <c r="G12" s="2" t="s">
        <v>3</v>
      </c>
      <c r="H12" s="2" t="s">
        <v>17</v>
      </c>
      <c r="I12" s="2" t="s">
        <v>16</v>
      </c>
    </row>
    <row r="13" spans="2:10" ht="31" customHeight="1" thickTop="1" thickBot="1">
      <c r="C13" s="3" t="s">
        <v>0</v>
      </c>
      <c r="D13" s="9">
        <v>300000</v>
      </c>
      <c r="E13" s="9" t="s">
        <v>14</v>
      </c>
      <c r="F13" s="9">
        <v>2000</v>
      </c>
      <c r="G13" s="22">
        <f>F14-F13</f>
        <v>3000</v>
      </c>
      <c r="H13" s="24">
        <v>0.08</v>
      </c>
      <c r="I13" s="20">
        <v>27</v>
      </c>
    </row>
    <row r="14" spans="2:10" ht="32" customHeight="1" thickTop="1" thickBot="1">
      <c r="C14" s="3" t="s">
        <v>20</v>
      </c>
      <c r="D14" s="9">
        <v>250000</v>
      </c>
      <c r="E14" s="9" t="s">
        <v>15</v>
      </c>
      <c r="F14" s="9">
        <v>5000</v>
      </c>
      <c r="G14" s="23"/>
      <c r="H14" s="25"/>
      <c r="I14" s="21"/>
    </row>
    <row r="15" spans="2:10" ht="14.5" customHeight="1" thickTop="1">
      <c r="D15" s="4"/>
      <c r="E15" s="5"/>
      <c r="F15" s="4"/>
      <c r="G15" s="4"/>
      <c r="H15" s="4"/>
      <c r="I15" s="4"/>
      <c r="J15" s="4"/>
    </row>
    <row r="16" spans="2:10" ht="14.5" customHeight="1" thickBot="1">
      <c r="D16" s="4"/>
      <c r="E16" s="5"/>
      <c r="F16" s="4"/>
      <c r="G16" s="4"/>
      <c r="H16" s="4"/>
      <c r="I16" s="4"/>
      <c r="J16" s="4"/>
    </row>
    <row r="17" spans="3:10" ht="35" customHeight="1" thickTop="1" thickBot="1">
      <c r="C17" s="13" t="s">
        <v>4</v>
      </c>
      <c r="D17" s="10" t="s">
        <v>9</v>
      </c>
      <c r="E17" s="11"/>
      <c r="F17" s="12"/>
      <c r="G17" s="6" t="s">
        <v>10</v>
      </c>
      <c r="H17" s="15" t="s">
        <v>11</v>
      </c>
      <c r="I17" s="4"/>
      <c r="J17" s="4"/>
    </row>
    <row r="18" spans="3:10" ht="32.5" customHeight="1" thickTop="1" thickBot="1">
      <c r="C18" s="14"/>
      <c r="D18" s="2" t="s">
        <v>6</v>
      </c>
      <c r="E18" s="6" t="s">
        <v>5</v>
      </c>
      <c r="F18" s="6" t="s">
        <v>7</v>
      </c>
      <c r="G18" s="6" t="s">
        <v>8</v>
      </c>
      <c r="H18" s="16"/>
      <c r="I18" s="4"/>
      <c r="J18" s="4"/>
    </row>
    <row r="19" spans="3:10" ht="16" customHeight="1" thickTop="1" thickBot="1">
      <c r="C19" s="7">
        <f>I13</f>
        <v>27</v>
      </c>
      <c r="D19" s="9">
        <v>300000</v>
      </c>
      <c r="E19" s="8">
        <f>(G13)*(1+$H$13)</f>
        <v>3240</v>
      </c>
      <c r="F19" s="8">
        <f>+D19+E19</f>
        <v>303240</v>
      </c>
      <c r="G19" s="8">
        <f>+$D$14</f>
        <v>250000</v>
      </c>
      <c r="H19" s="8">
        <f>+F19-G19</f>
        <v>53240</v>
      </c>
      <c r="I19" s="4"/>
      <c r="J19" s="17" t="s">
        <v>12</v>
      </c>
    </row>
    <row r="20" spans="3:10" ht="15" customHeight="1" thickTop="1" thickBot="1">
      <c r="C20" s="7">
        <f>C19+1</f>
        <v>28</v>
      </c>
      <c r="D20" s="9">
        <v>300000</v>
      </c>
      <c r="E20" s="8">
        <f>($G$13+E19)*(1+$H$13)</f>
        <v>6739.2000000000007</v>
      </c>
      <c r="F20" s="8">
        <f t="shared" ref="F20:F35" si="0">+D20+E20</f>
        <v>306739.20000000001</v>
      </c>
      <c r="G20" s="8">
        <f t="shared" ref="G20:G62" si="1">+$D$14</f>
        <v>250000</v>
      </c>
      <c r="H20" s="8">
        <f t="shared" ref="H20:H35" si="2">+F20-G20</f>
        <v>56739.200000000012</v>
      </c>
      <c r="I20" s="4"/>
      <c r="J20" s="18"/>
    </row>
    <row r="21" spans="3:10" ht="17" customHeight="1" thickTop="1" thickBot="1">
      <c r="C21" s="7">
        <f t="shared" ref="C21:C62" si="3">C20+1</f>
        <v>29</v>
      </c>
      <c r="D21" s="9">
        <v>300000</v>
      </c>
      <c r="E21" s="8">
        <f t="shared" ref="E21:E35" si="4">($G$13+E20)*(1+$H$13)</f>
        <v>10518.336000000001</v>
      </c>
      <c r="F21" s="8">
        <f t="shared" si="0"/>
        <v>310518.33600000001</v>
      </c>
      <c r="G21" s="8">
        <f t="shared" si="1"/>
        <v>250000</v>
      </c>
      <c r="H21" s="8">
        <f t="shared" si="2"/>
        <v>60518.33600000001</v>
      </c>
      <c r="J21" s="18"/>
    </row>
    <row r="22" spans="3:10" ht="17" customHeight="1" thickTop="1" thickBot="1">
      <c r="C22" s="7">
        <f t="shared" si="3"/>
        <v>30</v>
      </c>
      <c r="D22" s="9">
        <v>300000</v>
      </c>
      <c r="E22" s="8">
        <f t="shared" si="4"/>
        <v>14599.802880000003</v>
      </c>
      <c r="F22" s="8">
        <f t="shared" si="0"/>
        <v>314599.80287999997</v>
      </c>
      <c r="G22" s="8">
        <f t="shared" si="1"/>
        <v>250000</v>
      </c>
      <c r="H22" s="8">
        <f t="shared" si="2"/>
        <v>64599.802879999974</v>
      </c>
      <c r="J22" s="18"/>
    </row>
    <row r="23" spans="3:10" ht="17" customHeight="1" thickTop="1" thickBot="1">
      <c r="C23" s="7">
        <f t="shared" si="3"/>
        <v>31</v>
      </c>
      <c r="D23" s="9">
        <v>300000</v>
      </c>
      <c r="E23" s="8">
        <f t="shared" si="4"/>
        <v>19007.787110400004</v>
      </c>
      <c r="F23" s="8">
        <f t="shared" si="0"/>
        <v>319007.78711039998</v>
      </c>
      <c r="G23" s="8">
        <f t="shared" si="1"/>
        <v>250000</v>
      </c>
      <c r="H23" s="8">
        <f t="shared" si="2"/>
        <v>69007.787110399979</v>
      </c>
      <c r="J23" s="18"/>
    </row>
    <row r="24" spans="3:10" ht="17" customHeight="1" thickTop="1" thickBot="1">
      <c r="C24" s="7">
        <f t="shared" si="3"/>
        <v>32</v>
      </c>
      <c r="D24" s="9">
        <v>300000</v>
      </c>
      <c r="E24" s="8">
        <f t="shared" si="4"/>
        <v>23768.410079232006</v>
      </c>
      <c r="F24" s="8">
        <f t="shared" si="0"/>
        <v>323768.41007923201</v>
      </c>
      <c r="G24" s="8">
        <f t="shared" si="1"/>
        <v>250000</v>
      </c>
      <c r="H24" s="8">
        <f t="shared" si="2"/>
        <v>73768.41007923201</v>
      </c>
      <c r="J24" s="18"/>
    </row>
    <row r="25" spans="3:10" ht="17" customHeight="1" thickTop="1" thickBot="1">
      <c r="C25" s="7">
        <f t="shared" si="3"/>
        <v>33</v>
      </c>
      <c r="D25" s="9">
        <v>300000</v>
      </c>
      <c r="E25" s="8">
        <f t="shared" si="4"/>
        <v>28909.882885570569</v>
      </c>
      <c r="F25" s="8">
        <f t="shared" si="0"/>
        <v>328909.88288557058</v>
      </c>
      <c r="G25" s="8">
        <f t="shared" si="1"/>
        <v>250000</v>
      </c>
      <c r="H25" s="8">
        <f t="shared" si="2"/>
        <v>78909.88288557058</v>
      </c>
      <c r="J25" s="18"/>
    </row>
    <row r="26" spans="3:10" ht="17" customHeight="1" thickTop="1" thickBot="1">
      <c r="C26" s="7">
        <f t="shared" si="3"/>
        <v>34</v>
      </c>
      <c r="D26" s="9">
        <v>300000</v>
      </c>
      <c r="E26" s="8">
        <f t="shared" si="4"/>
        <v>34462.673516416216</v>
      </c>
      <c r="F26" s="8">
        <f t="shared" si="0"/>
        <v>334462.67351641622</v>
      </c>
      <c r="G26" s="8">
        <f t="shared" si="1"/>
        <v>250000</v>
      </c>
      <c r="H26" s="8">
        <f t="shared" si="2"/>
        <v>84462.673516416224</v>
      </c>
      <c r="J26" s="18"/>
    </row>
    <row r="27" spans="3:10" ht="17" customHeight="1" thickTop="1" thickBot="1">
      <c r="C27" s="7">
        <f t="shared" si="3"/>
        <v>35</v>
      </c>
      <c r="D27" s="9">
        <v>300000</v>
      </c>
      <c r="E27" s="8">
        <f t="shared" si="4"/>
        <v>40459.687397729518</v>
      </c>
      <c r="F27" s="8">
        <f t="shared" si="0"/>
        <v>340459.68739772949</v>
      </c>
      <c r="G27" s="8">
        <f t="shared" si="1"/>
        <v>250000</v>
      </c>
      <c r="H27" s="8">
        <f t="shared" si="2"/>
        <v>90459.687397729489</v>
      </c>
      <c r="J27" s="18"/>
    </row>
    <row r="28" spans="3:10" ht="17" customHeight="1" thickTop="1" thickBot="1">
      <c r="C28" s="7">
        <f t="shared" si="3"/>
        <v>36</v>
      </c>
      <c r="D28" s="9">
        <v>300000</v>
      </c>
      <c r="E28" s="8">
        <f t="shared" si="4"/>
        <v>46936.46238954788</v>
      </c>
      <c r="F28" s="8">
        <f t="shared" si="0"/>
        <v>346936.4623895479</v>
      </c>
      <c r="G28" s="8">
        <f t="shared" si="1"/>
        <v>250000</v>
      </c>
      <c r="H28" s="8">
        <f t="shared" si="2"/>
        <v>96936.462389547902</v>
      </c>
      <c r="J28" s="18"/>
    </row>
    <row r="29" spans="3:10" ht="17" customHeight="1" thickTop="1" thickBot="1">
      <c r="C29" s="7">
        <f t="shared" si="3"/>
        <v>37</v>
      </c>
      <c r="D29" s="9">
        <v>300000</v>
      </c>
      <c r="E29" s="8">
        <f t="shared" si="4"/>
        <v>53931.379380711711</v>
      </c>
      <c r="F29" s="8">
        <f t="shared" si="0"/>
        <v>353931.3793807117</v>
      </c>
      <c r="G29" s="8">
        <f t="shared" si="1"/>
        <v>250000</v>
      </c>
      <c r="H29" s="8">
        <f t="shared" si="2"/>
        <v>103931.3793807117</v>
      </c>
      <c r="J29" s="18"/>
    </row>
    <row r="30" spans="3:10" ht="17" customHeight="1" thickTop="1" thickBot="1">
      <c r="C30" s="7">
        <f t="shared" si="3"/>
        <v>38</v>
      </c>
      <c r="D30" s="9">
        <v>300000</v>
      </c>
      <c r="E30" s="8">
        <f t="shared" si="4"/>
        <v>61485.889731168652</v>
      </c>
      <c r="F30" s="8">
        <f t="shared" si="0"/>
        <v>361485.88973116863</v>
      </c>
      <c r="G30" s="8">
        <f t="shared" si="1"/>
        <v>250000</v>
      </c>
      <c r="H30" s="8">
        <f t="shared" si="2"/>
        <v>111485.88973116863</v>
      </c>
      <c r="J30" s="18"/>
    </row>
    <row r="31" spans="3:10" ht="17" customHeight="1" thickTop="1" thickBot="1">
      <c r="C31" s="7">
        <f t="shared" si="3"/>
        <v>39</v>
      </c>
      <c r="D31" s="9">
        <v>300000</v>
      </c>
      <c r="E31" s="8">
        <f t="shared" si="4"/>
        <v>69644.760909662145</v>
      </c>
      <c r="F31" s="8">
        <f t="shared" si="0"/>
        <v>369644.76090966212</v>
      </c>
      <c r="G31" s="8">
        <f t="shared" si="1"/>
        <v>250000</v>
      </c>
      <c r="H31" s="8">
        <f t="shared" si="2"/>
        <v>119644.76090966212</v>
      </c>
      <c r="J31" s="18"/>
    </row>
    <row r="32" spans="3:10" ht="17" customHeight="1" thickTop="1" thickBot="1">
      <c r="C32" s="7">
        <f t="shared" si="3"/>
        <v>40</v>
      </c>
      <c r="D32" s="9">
        <v>300000</v>
      </c>
      <c r="E32" s="8">
        <f t="shared" si="4"/>
        <v>78456.34178243512</v>
      </c>
      <c r="F32" s="8">
        <f t="shared" si="0"/>
        <v>378456.34178243513</v>
      </c>
      <c r="G32" s="8">
        <f t="shared" si="1"/>
        <v>250000</v>
      </c>
      <c r="H32" s="8">
        <f t="shared" si="2"/>
        <v>128456.34178243513</v>
      </c>
      <c r="J32" s="18"/>
    </row>
    <row r="33" spans="3:10" ht="17" customHeight="1" thickTop="1" thickBot="1">
      <c r="C33" s="7">
        <f t="shared" si="3"/>
        <v>41</v>
      </c>
      <c r="D33" s="9">
        <v>300000</v>
      </c>
      <c r="E33" s="8">
        <f t="shared" si="4"/>
        <v>87972.849125029941</v>
      </c>
      <c r="F33" s="8">
        <f t="shared" si="0"/>
        <v>387972.84912502993</v>
      </c>
      <c r="G33" s="8">
        <f t="shared" si="1"/>
        <v>250000</v>
      </c>
      <c r="H33" s="8">
        <f t="shared" si="2"/>
        <v>137972.84912502993</v>
      </c>
      <c r="J33" s="18"/>
    </row>
    <row r="34" spans="3:10" ht="17" customHeight="1" thickTop="1" thickBot="1">
      <c r="C34" s="7">
        <f t="shared" si="3"/>
        <v>42</v>
      </c>
      <c r="D34" s="9">
        <v>300000</v>
      </c>
      <c r="E34" s="8">
        <f t="shared" si="4"/>
        <v>98250.677055032342</v>
      </c>
      <c r="F34" s="8">
        <f t="shared" si="0"/>
        <v>398250.67705503234</v>
      </c>
      <c r="G34" s="8">
        <f t="shared" si="1"/>
        <v>250000</v>
      </c>
      <c r="H34" s="8">
        <f t="shared" si="2"/>
        <v>148250.67705503234</v>
      </c>
      <c r="I34" s="4"/>
      <c r="J34" s="18"/>
    </row>
    <row r="35" spans="3:10" ht="17" customHeight="1" thickTop="1" thickBot="1">
      <c r="C35" s="7">
        <f t="shared" si="3"/>
        <v>43</v>
      </c>
      <c r="D35" s="9">
        <v>300000</v>
      </c>
      <c r="E35" s="8">
        <f t="shared" si="4"/>
        <v>109350.73121943494</v>
      </c>
      <c r="F35" s="8">
        <f t="shared" si="0"/>
        <v>409350.73121943494</v>
      </c>
      <c r="G35" s="8">
        <f t="shared" si="1"/>
        <v>250000</v>
      </c>
      <c r="H35" s="8">
        <f t="shared" si="2"/>
        <v>159350.73121943494</v>
      </c>
      <c r="I35" s="4"/>
      <c r="J35" s="18"/>
    </row>
    <row r="36" spans="3:10" ht="17" thickTop="1" thickBot="1">
      <c r="C36" s="7">
        <f t="shared" si="3"/>
        <v>44</v>
      </c>
      <c r="D36" s="9">
        <v>300000</v>
      </c>
      <c r="E36" s="8">
        <f t="shared" ref="E36:E53" si="5">($G$13+E35)*(1+$H$13)</f>
        <v>121338.78971698973</v>
      </c>
      <c r="F36" s="8">
        <f t="shared" ref="F36:F53" si="6">+D36+E36</f>
        <v>421338.78971698973</v>
      </c>
      <c r="G36" s="8">
        <f t="shared" si="1"/>
        <v>250000</v>
      </c>
      <c r="H36" s="8">
        <f t="shared" ref="H36:H53" si="7">+F36-G36</f>
        <v>171338.78971698973</v>
      </c>
      <c r="I36" s="4"/>
      <c r="J36" s="18"/>
    </row>
    <row r="37" spans="3:10" ht="17" thickTop="1" thickBot="1">
      <c r="C37" s="7">
        <f t="shared" si="3"/>
        <v>45</v>
      </c>
      <c r="D37" s="9">
        <v>300000</v>
      </c>
      <c r="E37" s="8">
        <f t="shared" si="5"/>
        <v>134285.89289434892</v>
      </c>
      <c r="F37" s="8">
        <f t="shared" si="6"/>
        <v>434285.89289434894</v>
      </c>
      <c r="G37" s="8">
        <f t="shared" si="1"/>
        <v>250000</v>
      </c>
      <c r="H37" s="8">
        <f t="shared" si="7"/>
        <v>184285.89289434894</v>
      </c>
      <c r="I37" s="4"/>
      <c r="J37" s="18"/>
    </row>
    <row r="38" spans="3:10" ht="17" thickTop="1" thickBot="1">
      <c r="C38" s="7">
        <f t="shared" si="3"/>
        <v>46</v>
      </c>
      <c r="D38" s="9">
        <v>300000</v>
      </c>
      <c r="E38" s="8">
        <f t="shared" si="5"/>
        <v>148268.76432589683</v>
      </c>
      <c r="F38" s="8">
        <f t="shared" si="6"/>
        <v>448268.76432589686</v>
      </c>
      <c r="G38" s="8">
        <f t="shared" si="1"/>
        <v>250000</v>
      </c>
      <c r="H38" s="8">
        <f t="shared" si="7"/>
        <v>198268.76432589686</v>
      </c>
      <c r="I38" s="4"/>
      <c r="J38" s="18"/>
    </row>
    <row r="39" spans="3:10" ht="17" thickTop="1" thickBot="1">
      <c r="C39" s="7">
        <f t="shared" si="3"/>
        <v>47</v>
      </c>
      <c r="D39" s="9">
        <v>300000</v>
      </c>
      <c r="E39" s="8">
        <f t="shared" si="5"/>
        <v>163370.2654719686</v>
      </c>
      <c r="F39" s="8">
        <f t="shared" si="6"/>
        <v>463370.26547196857</v>
      </c>
      <c r="G39" s="8">
        <f t="shared" si="1"/>
        <v>250000</v>
      </c>
      <c r="H39" s="8">
        <f t="shared" si="7"/>
        <v>213370.26547196857</v>
      </c>
      <c r="I39" s="4"/>
      <c r="J39" s="18"/>
    </row>
    <row r="40" spans="3:10" ht="17" thickTop="1" thickBot="1">
      <c r="C40" s="7">
        <f t="shared" si="3"/>
        <v>48</v>
      </c>
      <c r="D40" s="9">
        <v>0</v>
      </c>
      <c r="E40" s="8">
        <f t="shared" si="5"/>
        <v>179679.8867097261</v>
      </c>
      <c r="F40" s="8">
        <f t="shared" si="6"/>
        <v>179679.8867097261</v>
      </c>
      <c r="G40" s="8">
        <f t="shared" si="1"/>
        <v>250000</v>
      </c>
      <c r="H40" s="8">
        <f t="shared" si="7"/>
        <v>-70320.113290273905</v>
      </c>
      <c r="I40" s="4"/>
      <c r="J40" s="18"/>
    </row>
    <row r="41" spans="3:10" ht="17" thickTop="1" thickBot="1">
      <c r="C41" s="7">
        <f t="shared" si="3"/>
        <v>49</v>
      </c>
      <c r="D41" s="9">
        <v>0</v>
      </c>
      <c r="E41" s="8">
        <f t="shared" si="5"/>
        <v>197294.2776465042</v>
      </c>
      <c r="F41" s="8">
        <f t="shared" si="6"/>
        <v>197294.2776465042</v>
      </c>
      <c r="G41" s="8">
        <f t="shared" si="1"/>
        <v>250000</v>
      </c>
      <c r="H41" s="8">
        <f t="shared" si="7"/>
        <v>-52705.722353495803</v>
      </c>
      <c r="I41" s="4"/>
      <c r="J41" s="18"/>
    </row>
    <row r="42" spans="3:10" ht="17" thickTop="1" thickBot="1">
      <c r="C42" s="7">
        <f t="shared" si="3"/>
        <v>50</v>
      </c>
      <c r="D42" s="9">
        <v>0</v>
      </c>
      <c r="E42" s="8">
        <f t="shared" si="5"/>
        <v>216317.81985822454</v>
      </c>
      <c r="F42" s="8">
        <f t="shared" si="6"/>
        <v>216317.81985822454</v>
      </c>
      <c r="G42" s="8">
        <f t="shared" si="1"/>
        <v>250000</v>
      </c>
      <c r="H42" s="8">
        <f t="shared" si="7"/>
        <v>-33682.180141775461</v>
      </c>
      <c r="I42" s="4"/>
      <c r="J42" s="18"/>
    </row>
    <row r="43" spans="3:10" ht="17" thickTop="1" thickBot="1">
      <c r="C43" s="7">
        <f t="shared" si="3"/>
        <v>51</v>
      </c>
      <c r="D43" s="9">
        <v>0</v>
      </c>
      <c r="E43" s="8">
        <f t="shared" si="5"/>
        <v>236863.24544688253</v>
      </c>
      <c r="F43" s="8">
        <f t="shared" si="6"/>
        <v>236863.24544688253</v>
      </c>
      <c r="G43" s="8">
        <f t="shared" si="1"/>
        <v>250000</v>
      </c>
      <c r="H43" s="8">
        <f t="shared" si="7"/>
        <v>-13136.754553117469</v>
      </c>
      <c r="I43" s="4"/>
      <c r="J43" s="18"/>
    </row>
    <row r="44" spans="3:10" ht="17" thickTop="1" thickBot="1">
      <c r="C44" s="7">
        <f t="shared" si="3"/>
        <v>52</v>
      </c>
      <c r="D44" s="9">
        <v>0</v>
      </c>
      <c r="E44" s="8">
        <f t="shared" si="5"/>
        <v>259052.30508263316</v>
      </c>
      <c r="F44" s="8">
        <f t="shared" si="6"/>
        <v>259052.30508263316</v>
      </c>
      <c r="G44" s="8">
        <f t="shared" si="1"/>
        <v>250000</v>
      </c>
      <c r="H44" s="8">
        <f t="shared" si="7"/>
        <v>9052.3050826331601</v>
      </c>
      <c r="I44" s="4"/>
      <c r="J44" s="18"/>
    </row>
    <row r="45" spans="3:10" ht="17" thickTop="1" thickBot="1">
      <c r="C45" s="7">
        <f t="shared" si="3"/>
        <v>53</v>
      </c>
      <c r="D45" s="9">
        <v>0</v>
      </c>
      <c r="E45" s="8">
        <f t="shared" si="5"/>
        <v>283016.48948924383</v>
      </c>
      <c r="F45" s="8">
        <f t="shared" si="6"/>
        <v>283016.48948924383</v>
      </c>
      <c r="G45" s="8">
        <f t="shared" si="1"/>
        <v>250000</v>
      </c>
      <c r="H45" s="8">
        <f t="shared" si="7"/>
        <v>33016.489489243831</v>
      </c>
      <c r="I45" s="4"/>
      <c r="J45" s="18"/>
    </row>
    <row r="46" spans="3:10" ht="17" thickTop="1" thickBot="1">
      <c r="C46" s="7">
        <f t="shared" si="3"/>
        <v>54</v>
      </c>
      <c r="D46" s="9">
        <v>0</v>
      </c>
      <c r="E46" s="8">
        <f t="shared" si="5"/>
        <v>308897.80864838336</v>
      </c>
      <c r="F46" s="8">
        <f t="shared" si="6"/>
        <v>308897.80864838336</v>
      </c>
      <c r="G46" s="8">
        <f t="shared" si="1"/>
        <v>250000</v>
      </c>
      <c r="H46" s="8">
        <f t="shared" si="7"/>
        <v>58897.808648383361</v>
      </c>
      <c r="I46" s="4"/>
      <c r="J46" s="18"/>
    </row>
    <row r="47" spans="3:10" ht="17" thickTop="1" thickBot="1">
      <c r="C47" s="7">
        <f t="shared" si="3"/>
        <v>55</v>
      </c>
      <c r="D47" s="9">
        <v>0</v>
      </c>
      <c r="E47" s="8">
        <f t="shared" si="5"/>
        <v>336849.63334025408</v>
      </c>
      <c r="F47" s="8">
        <f t="shared" si="6"/>
        <v>336849.63334025408</v>
      </c>
      <c r="G47" s="8">
        <f t="shared" si="1"/>
        <v>250000</v>
      </c>
      <c r="H47" s="8">
        <f t="shared" si="7"/>
        <v>86849.633340254077</v>
      </c>
      <c r="I47" s="4"/>
      <c r="J47" s="18"/>
    </row>
    <row r="48" spans="3:10" ht="17" thickTop="1" thickBot="1">
      <c r="C48" s="7">
        <f t="shared" si="3"/>
        <v>56</v>
      </c>
      <c r="D48" s="9">
        <v>0</v>
      </c>
      <c r="E48" s="8">
        <f t="shared" si="5"/>
        <v>367037.60400747444</v>
      </c>
      <c r="F48" s="8">
        <f t="shared" si="6"/>
        <v>367037.60400747444</v>
      </c>
      <c r="G48" s="8">
        <f t="shared" si="1"/>
        <v>250000</v>
      </c>
      <c r="H48" s="8">
        <f t="shared" si="7"/>
        <v>117037.60400747444</v>
      </c>
      <c r="J48" s="18"/>
    </row>
    <row r="49" spans="3:10" ht="17" thickTop="1" thickBot="1">
      <c r="C49" s="7">
        <f t="shared" si="3"/>
        <v>57</v>
      </c>
      <c r="D49" s="9">
        <v>0</v>
      </c>
      <c r="E49" s="8">
        <f t="shared" si="5"/>
        <v>399640.61232807243</v>
      </c>
      <c r="F49" s="8">
        <f t="shared" si="6"/>
        <v>399640.61232807243</v>
      </c>
      <c r="G49" s="8">
        <f t="shared" si="1"/>
        <v>250000</v>
      </c>
      <c r="H49" s="8">
        <f t="shared" si="7"/>
        <v>149640.61232807243</v>
      </c>
      <c r="J49" s="18"/>
    </row>
    <row r="50" spans="3:10" ht="17" thickTop="1" thickBot="1">
      <c r="C50" s="7">
        <f t="shared" si="3"/>
        <v>58</v>
      </c>
      <c r="D50" s="9">
        <v>0</v>
      </c>
      <c r="E50" s="8">
        <f t="shared" si="5"/>
        <v>434851.86131431826</v>
      </c>
      <c r="F50" s="8">
        <f t="shared" si="6"/>
        <v>434851.86131431826</v>
      </c>
      <c r="G50" s="8">
        <f t="shared" si="1"/>
        <v>250000</v>
      </c>
      <c r="H50" s="8">
        <f t="shared" si="7"/>
        <v>184851.86131431826</v>
      </c>
      <c r="J50" s="18"/>
    </row>
    <row r="51" spans="3:10" ht="17" thickTop="1" thickBot="1">
      <c r="C51" s="7">
        <f t="shared" si="3"/>
        <v>59</v>
      </c>
      <c r="D51" s="9">
        <v>0</v>
      </c>
      <c r="E51" s="8">
        <f t="shared" si="5"/>
        <v>472880.01021946373</v>
      </c>
      <c r="F51" s="8">
        <f t="shared" si="6"/>
        <v>472880.01021946373</v>
      </c>
      <c r="G51" s="8">
        <f t="shared" si="1"/>
        <v>250000</v>
      </c>
      <c r="H51" s="8">
        <f t="shared" si="7"/>
        <v>222880.01021946373</v>
      </c>
      <c r="J51" s="18"/>
    </row>
    <row r="52" spans="3:10" ht="17" thickTop="1" thickBot="1">
      <c r="C52" s="7">
        <f t="shared" si="3"/>
        <v>60</v>
      </c>
      <c r="D52" s="9">
        <v>0</v>
      </c>
      <c r="E52" s="8">
        <f t="shared" si="5"/>
        <v>513950.41103702085</v>
      </c>
      <c r="F52" s="8">
        <f t="shared" si="6"/>
        <v>513950.41103702085</v>
      </c>
      <c r="G52" s="8">
        <f t="shared" si="1"/>
        <v>250000</v>
      </c>
      <c r="H52" s="8">
        <f t="shared" si="7"/>
        <v>263950.41103702085</v>
      </c>
      <c r="J52" s="18"/>
    </row>
    <row r="53" spans="3:10" ht="17" thickTop="1" thickBot="1">
      <c r="C53" s="7">
        <f t="shared" si="3"/>
        <v>61</v>
      </c>
      <c r="D53" s="9">
        <v>0</v>
      </c>
      <c r="E53" s="8">
        <f t="shared" si="5"/>
        <v>558306.44391998253</v>
      </c>
      <c r="F53" s="8">
        <f t="shared" si="6"/>
        <v>558306.44391998253</v>
      </c>
      <c r="G53" s="8">
        <f t="shared" si="1"/>
        <v>250000</v>
      </c>
      <c r="H53" s="8">
        <f t="shared" si="7"/>
        <v>308306.44391998253</v>
      </c>
      <c r="J53" s="18"/>
    </row>
    <row r="54" spans="3:10" ht="17" thickTop="1" thickBot="1">
      <c r="C54" s="7">
        <f t="shared" si="3"/>
        <v>62</v>
      </c>
      <c r="D54" s="9">
        <v>0</v>
      </c>
      <c r="E54" s="8">
        <f t="shared" ref="E54:E62" si="8">($G$13+E53)*(1+$H$13)</f>
        <v>606210.95943358121</v>
      </c>
      <c r="F54" s="8">
        <f t="shared" ref="F54:F62" si="9">+D54+E54</f>
        <v>606210.95943358121</v>
      </c>
      <c r="G54" s="8">
        <f t="shared" si="1"/>
        <v>250000</v>
      </c>
      <c r="H54" s="8">
        <f t="shared" ref="H54:H62" si="10">+F54-G54</f>
        <v>356210.95943358121</v>
      </c>
      <c r="J54" s="18"/>
    </row>
    <row r="55" spans="3:10" ht="17" thickTop="1" thickBot="1">
      <c r="C55" s="7">
        <f t="shared" si="3"/>
        <v>63</v>
      </c>
      <c r="D55" s="9">
        <v>0</v>
      </c>
      <c r="E55" s="8">
        <f t="shared" si="8"/>
        <v>657947.8361882678</v>
      </c>
      <c r="F55" s="8">
        <f t="shared" si="9"/>
        <v>657947.8361882678</v>
      </c>
      <c r="G55" s="8">
        <f t="shared" si="1"/>
        <v>250000</v>
      </c>
      <c r="H55" s="8">
        <f t="shared" si="10"/>
        <v>407947.8361882678</v>
      </c>
      <c r="J55" s="18"/>
    </row>
    <row r="56" spans="3:10" ht="17" thickTop="1" thickBot="1">
      <c r="C56" s="7">
        <f t="shared" si="3"/>
        <v>64</v>
      </c>
      <c r="D56" s="9">
        <v>0</v>
      </c>
      <c r="E56" s="8">
        <f t="shared" si="8"/>
        <v>713823.66308332921</v>
      </c>
      <c r="F56" s="8">
        <f t="shared" si="9"/>
        <v>713823.66308332921</v>
      </c>
      <c r="G56" s="8">
        <f t="shared" si="1"/>
        <v>250000</v>
      </c>
      <c r="H56" s="8">
        <f t="shared" si="10"/>
        <v>463823.66308332921</v>
      </c>
      <c r="J56" s="18"/>
    </row>
    <row r="57" spans="3:10" ht="17" thickTop="1" thickBot="1">
      <c r="C57" s="7">
        <f t="shared" si="3"/>
        <v>65</v>
      </c>
      <c r="D57" s="9">
        <v>0</v>
      </c>
      <c r="E57" s="8">
        <f t="shared" si="8"/>
        <v>774169.55612999562</v>
      </c>
      <c r="F57" s="8">
        <f t="shared" si="9"/>
        <v>774169.55612999562</v>
      </c>
      <c r="G57" s="8">
        <f t="shared" si="1"/>
        <v>250000</v>
      </c>
      <c r="H57" s="8">
        <f t="shared" si="10"/>
        <v>524169.55612999562</v>
      </c>
      <c r="J57" s="18"/>
    </row>
    <row r="58" spans="3:10" ht="17" thickTop="1" thickBot="1">
      <c r="C58" s="7">
        <f t="shared" si="3"/>
        <v>66</v>
      </c>
      <c r="D58" s="9">
        <v>0</v>
      </c>
      <c r="E58" s="8">
        <f t="shared" si="8"/>
        <v>839343.12062039529</v>
      </c>
      <c r="F58" s="8">
        <f t="shared" si="9"/>
        <v>839343.12062039529</v>
      </c>
      <c r="G58" s="8">
        <f t="shared" si="1"/>
        <v>250000</v>
      </c>
      <c r="H58" s="8">
        <f t="shared" si="10"/>
        <v>589343.12062039529</v>
      </c>
      <c r="J58" s="18"/>
    </row>
    <row r="59" spans="3:10" ht="17" thickTop="1" thickBot="1">
      <c r="C59" s="7">
        <f t="shared" si="3"/>
        <v>67</v>
      </c>
      <c r="D59" s="9">
        <v>0</v>
      </c>
      <c r="E59" s="8">
        <f t="shared" si="8"/>
        <v>909730.57027002692</v>
      </c>
      <c r="F59" s="8">
        <f t="shared" si="9"/>
        <v>909730.57027002692</v>
      </c>
      <c r="G59" s="8">
        <f t="shared" si="1"/>
        <v>250000</v>
      </c>
      <c r="H59" s="8">
        <f t="shared" si="10"/>
        <v>659730.57027002692</v>
      </c>
      <c r="J59" s="18"/>
    </row>
    <row r="60" spans="3:10" ht="17" thickTop="1" thickBot="1">
      <c r="C60" s="7">
        <f t="shared" si="3"/>
        <v>68</v>
      </c>
      <c r="D60" s="9">
        <v>0</v>
      </c>
      <c r="E60" s="8">
        <f t="shared" si="8"/>
        <v>985749.01589162915</v>
      </c>
      <c r="F60" s="8">
        <f t="shared" si="9"/>
        <v>985749.01589162915</v>
      </c>
      <c r="G60" s="8">
        <f t="shared" si="1"/>
        <v>250000</v>
      </c>
      <c r="H60" s="8">
        <f t="shared" si="10"/>
        <v>735749.01589162915</v>
      </c>
      <c r="J60" s="18"/>
    </row>
    <row r="61" spans="3:10" ht="17" thickTop="1" thickBot="1">
      <c r="C61" s="7">
        <f t="shared" si="3"/>
        <v>69</v>
      </c>
      <c r="D61" s="9">
        <v>0</v>
      </c>
      <c r="E61" s="8">
        <f t="shared" si="8"/>
        <v>1067848.9371629595</v>
      </c>
      <c r="F61" s="8">
        <f t="shared" si="9"/>
        <v>1067848.9371629595</v>
      </c>
      <c r="G61" s="8">
        <f t="shared" si="1"/>
        <v>250000</v>
      </c>
      <c r="H61" s="8">
        <f t="shared" si="10"/>
        <v>817848.93716295948</v>
      </c>
      <c r="J61" s="18"/>
    </row>
    <row r="62" spans="3:10" ht="17" thickTop="1" thickBot="1">
      <c r="C62" s="7">
        <f t="shared" si="3"/>
        <v>70</v>
      </c>
      <c r="D62" s="9">
        <v>0</v>
      </c>
      <c r="E62" s="8">
        <f t="shared" si="8"/>
        <v>1156516.8521359963</v>
      </c>
      <c r="F62" s="8">
        <f t="shared" si="9"/>
        <v>1156516.8521359963</v>
      </c>
      <c r="G62" s="8">
        <f t="shared" si="1"/>
        <v>250000</v>
      </c>
      <c r="H62" s="8">
        <f t="shared" si="10"/>
        <v>906516.85213599633</v>
      </c>
      <c r="J62" s="19"/>
    </row>
    <row r="63" spans="3:10" ht="13" thickTop="1"/>
  </sheetData>
  <mergeCells count="9">
    <mergeCell ref="I1:I2"/>
    <mergeCell ref="B1:H2"/>
    <mergeCell ref="D17:F17"/>
    <mergeCell ref="C17:C18"/>
    <mergeCell ref="H17:H18"/>
    <mergeCell ref="J19:J62"/>
    <mergeCell ref="I13:I14"/>
    <mergeCell ref="G13:G14"/>
    <mergeCell ref="H13:H14"/>
  </mergeCells>
  <phoneticPr fontId="1" type="noConversion"/>
  <hyperlinks>
    <hyperlink ref="I1" r:id="rId1" display="重新学习课程"/>
  </hyperlinks>
  <pageMargins left="0.7" right="0.7" top="0.75" bottom="0.75" header="0.3" footer="0.3"/>
  <pageSetup paperSize="9" orientation="portrait"/>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对比买定投余和终身险</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dc:creator>
  <cp:lastModifiedBy>Meng Li</cp:lastModifiedBy>
  <dcterms:created xsi:type="dcterms:W3CDTF">2016-12-28T09:29:32Z</dcterms:created>
  <dcterms:modified xsi:type="dcterms:W3CDTF">2017-01-02T09:25:51Z</dcterms:modified>
</cp:coreProperties>
</file>