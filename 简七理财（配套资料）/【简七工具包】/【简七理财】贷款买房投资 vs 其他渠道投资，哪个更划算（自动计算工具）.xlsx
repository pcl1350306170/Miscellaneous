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y\Desktop\"/>
    </mc:Choice>
  </mc:AlternateContent>
  <bookViews>
    <workbookView xWindow="0" yWindow="0" windowWidth="12915" windowHeight="6285" activeTab="1"/>
  </bookViews>
  <sheets>
    <sheet name="测算表" sheetId="1" r:id="rId1"/>
    <sheet name="举例说明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C9" i="2"/>
  <c r="C8" i="1"/>
  <c r="L15" i="2" l="1"/>
</calcChain>
</file>

<file path=xl/sharedStrings.xml><?xml version="1.0" encoding="utf-8"?>
<sst xmlns="http://schemas.openxmlformats.org/spreadsheetml/2006/main" count="46" uniqueCount="32">
  <si>
    <r>
      <t xml:space="preserve">① </t>
    </r>
    <r>
      <rPr>
        <b/>
        <sz val="11"/>
        <color theme="1"/>
        <rFont val="微软雅黑"/>
        <family val="2"/>
        <charset val="134"/>
      </rPr>
      <t>房价总额</t>
    </r>
    <phoneticPr fontId="1" type="noConversion"/>
  </si>
  <si>
    <r>
      <t xml:space="preserve">② </t>
    </r>
    <r>
      <rPr>
        <b/>
        <sz val="11"/>
        <color theme="1"/>
        <rFont val="微软雅黑"/>
        <family val="2"/>
        <charset val="134"/>
      </rPr>
      <t>交易税费</t>
    </r>
    <phoneticPr fontId="1" type="noConversion"/>
  </si>
  <si>
    <r>
      <t xml:space="preserve">③ </t>
    </r>
    <r>
      <rPr>
        <b/>
        <sz val="11"/>
        <color theme="1"/>
        <rFont val="微软雅黑"/>
        <family val="2"/>
        <charset val="134"/>
      </rPr>
      <t>首付比例</t>
    </r>
    <phoneticPr fontId="1" type="noConversion"/>
  </si>
  <si>
    <t>自动计算</t>
    <phoneticPr fontId="1" type="noConversion"/>
  </si>
  <si>
    <t>项 目</t>
    <phoneticPr fontId="1" type="noConversion"/>
  </si>
  <si>
    <t>数 值</t>
    <phoneticPr fontId="1" type="noConversion"/>
  </si>
  <si>
    <t>备 注</t>
    <phoneticPr fontId="1" type="noConversion"/>
  </si>
  <si>
    <t>通过计算网站计算后加总</t>
    <phoneticPr fontId="1" type="noConversion"/>
  </si>
  <si>
    <t>公式数据</t>
    <phoneticPr fontId="1" type="noConversion"/>
  </si>
  <si>
    <t>需要的其他资料</t>
    <phoneticPr fontId="1" type="noConversion"/>
  </si>
  <si>
    <r>
      <t xml:space="preserve">④  </t>
    </r>
    <r>
      <rPr>
        <b/>
        <sz val="11"/>
        <color theme="1"/>
        <rFont val="微软雅黑"/>
        <family val="2"/>
        <charset val="134"/>
      </rPr>
      <t>预估房价涨幅</t>
    </r>
    <phoneticPr fontId="1" type="noConversion"/>
  </si>
  <si>
    <r>
      <t xml:space="preserve">⑤  </t>
    </r>
    <r>
      <rPr>
        <b/>
        <sz val="11"/>
        <color theme="1"/>
        <rFont val="微软雅黑"/>
        <family val="2"/>
        <charset val="134"/>
      </rPr>
      <t>期间房贷利息总和</t>
    </r>
    <phoneticPr fontId="1" type="noConversion"/>
  </si>
  <si>
    <t>20年</t>
    <phoneticPr fontId="1" type="noConversion"/>
  </si>
  <si>
    <t>等额本息</t>
    <phoneticPr fontId="1" type="noConversion"/>
  </si>
  <si>
    <r>
      <t xml:space="preserve">⑦  </t>
    </r>
    <r>
      <rPr>
        <b/>
        <sz val="11"/>
        <color theme="1"/>
        <rFont val="微软雅黑"/>
        <family val="2"/>
        <charset val="134"/>
      </rPr>
      <t>房贷利率</t>
    </r>
    <phoneticPr fontId="1" type="noConversion"/>
  </si>
  <si>
    <r>
      <t xml:space="preserve">⑧  </t>
    </r>
    <r>
      <rPr>
        <b/>
        <sz val="11"/>
        <color theme="1"/>
        <rFont val="微软雅黑"/>
        <family val="2"/>
        <charset val="134"/>
      </rPr>
      <t>房贷期限</t>
    </r>
    <phoneticPr fontId="1" type="noConversion"/>
  </si>
  <si>
    <r>
      <t xml:space="preserve">⑨  </t>
    </r>
    <r>
      <rPr>
        <b/>
        <sz val="11"/>
        <color theme="1"/>
        <rFont val="微软雅黑"/>
        <family val="2"/>
        <charset val="134"/>
      </rPr>
      <t>房贷还款方式</t>
    </r>
    <phoneticPr fontId="1" type="noConversion"/>
  </si>
  <si>
    <t>还款期次</t>
  </si>
  <si>
    <t>每月还款</t>
  </si>
  <si>
    <t>偿还利息(元)</t>
  </si>
  <si>
    <t>偿还本金(元)</t>
  </si>
  <si>
    <t>剩余本金(元)</t>
  </si>
  <si>
    <r>
      <rPr>
        <b/>
        <sz val="20"/>
        <color theme="8"/>
        <rFont val="微软雅黑"/>
        <family val="2"/>
        <charset val="134"/>
      </rPr>
      <t>说明</t>
    </r>
    <r>
      <rPr>
        <sz val="11"/>
        <color theme="1"/>
        <rFont val="微软雅黑"/>
        <family val="2"/>
        <charset val="134"/>
      </rPr>
      <t xml:space="preserve">
1、此表格为估算，未考虑不同期的利息的货币时间价值；
2、⑤ </t>
    </r>
    <r>
      <rPr>
        <b/>
        <sz val="11"/>
        <color theme="1"/>
        <rFont val="微软雅黑"/>
        <family val="2"/>
        <charset val="134"/>
      </rPr>
      <t>房贷利息</t>
    </r>
    <r>
      <rPr>
        <sz val="11"/>
        <color theme="1"/>
        <rFont val="微软雅黑"/>
        <family val="2"/>
        <charset val="134"/>
      </rPr>
      <t>可通过</t>
    </r>
    <r>
      <rPr>
        <sz val="11"/>
        <color rgb="FFFF0000"/>
        <rFont val="微软雅黑"/>
        <family val="2"/>
        <charset val="134"/>
      </rPr>
      <t>http://www.tjrtpw.com/</t>
    </r>
    <r>
      <rPr>
        <sz val="11"/>
        <color theme="1"/>
        <rFont val="微软雅黑"/>
        <family val="2"/>
        <charset val="134"/>
      </rPr>
      <t>自动计算并</t>
    </r>
    <r>
      <rPr>
        <b/>
        <sz val="11"/>
        <color theme="1"/>
        <rFont val="微软雅黑"/>
        <family val="2"/>
        <charset val="134"/>
      </rPr>
      <t>按月加总</t>
    </r>
    <r>
      <rPr>
        <sz val="11"/>
        <color theme="1"/>
        <rFont val="微软雅黑"/>
        <family val="2"/>
        <charset val="134"/>
      </rPr>
      <t>得到（如下图所示）；
3、④</t>
    </r>
    <r>
      <rPr>
        <b/>
        <sz val="11"/>
        <color theme="1"/>
        <rFont val="微软雅黑"/>
        <family val="2"/>
        <charset val="134"/>
      </rPr>
      <t xml:space="preserve"> 预估期间的房价涨幅、</t>
    </r>
    <r>
      <rPr>
        <sz val="11"/>
        <color theme="1"/>
        <rFont val="微软雅黑"/>
        <family val="2"/>
        <charset val="134"/>
      </rPr>
      <t xml:space="preserve">⑤ </t>
    </r>
    <r>
      <rPr>
        <b/>
        <sz val="11"/>
        <color theme="1"/>
        <rFont val="微软雅黑"/>
        <family val="2"/>
        <charset val="134"/>
      </rPr>
      <t>房贷利息、</t>
    </r>
    <r>
      <rPr>
        <sz val="11"/>
        <color theme="1"/>
        <rFont val="微软雅黑"/>
        <family val="2"/>
        <charset val="134"/>
      </rPr>
      <t xml:space="preserve">⑥ </t>
    </r>
    <r>
      <rPr>
        <b/>
        <sz val="11"/>
        <color theme="1"/>
        <rFont val="微软雅黑"/>
        <family val="2"/>
        <charset val="134"/>
      </rPr>
      <t>对应收益率</t>
    </r>
    <r>
      <rPr>
        <sz val="11"/>
        <color theme="1"/>
        <rFont val="微软雅黑"/>
        <family val="2"/>
        <charset val="134"/>
      </rPr>
      <t>的时期必须统一。</t>
    </r>
    <phoneticPr fontId="1" type="noConversion"/>
  </si>
  <si>
    <r>
      <rPr>
        <b/>
        <sz val="20"/>
        <color theme="8"/>
        <rFont val="微软雅黑"/>
        <family val="2"/>
        <charset val="134"/>
      </rPr>
      <t>结论</t>
    </r>
    <r>
      <rPr>
        <sz val="11"/>
        <color theme="1"/>
        <rFont val="微软雅黑"/>
        <family val="2"/>
        <charset val="134"/>
      </rPr>
      <t xml:space="preserve">
在10%是预估房价涨幅下：
1.简小七未来1年在其他渠道投资的收益率＞</t>
    </r>
    <r>
      <rPr>
        <sz val="11"/>
        <color rgb="FFFF0000"/>
        <rFont val="微软雅黑"/>
        <family val="2"/>
        <charset val="134"/>
      </rPr>
      <t>11.4%</t>
    </r>
    <r>
      <rPr>
        <sz val="11"/>
        <color theme="1"/>
        <rFont val="微软雅黑"/>
        <family val="2"/>
        <charset val="134"/>
      </rPr>
      <t xml:space="preserve">，则自己投资理财收益更高；
2.简小七未来1年在其他渠道投资的收益率＜ </t>
    </r>
    <r>
      <rPr>
        <sz val="11"/>
        <color rgb="FFFF0000"/>
        <rFont val="微软雅黑"/>
        <family val="2"/>
        <charset val="134"/>
      </rPr>
      <t>11.4%</t>
    </r>
    <r>
      <rPr>
        <sz val="11"/>
        <color theme="1"/>
        <rFont val="微软雅黑"/>
        <family val="2"/>
        <charset val="134"/>
      </rPr>
      <t>，则买房投资收益更高；</t>
    </r>
    <phoneticPr fontId="1" type="noConversion"/>
  </si>
  <si>
    <r>
      <t xml:space="preserve">举例：
简小七准备买了 ① </t>
    </r>
    <r>
      <rPr>
        <b/>
        <sz val="12"/>
        <color theme="1"/>
        <rFont val="微软雅黑"/>
        <family val="2"/>
        <charset val="134"/>
      </rPr>
      <t>100万的</t>
    </r>
    <r>
      <rPr>
        <sz val="12"/>
        <color theme="1"/>
        <rFont val="微软雅黑"/>
        <family val="2"/>
        <charset val="134"/>
      </rPr>
      <t xml:space="preserve">房子
首付比例 ③ </t>
    </r>
    <r>
      <rPr>
        <b/>
        <sz val="12"/>
        <color theme="1"/>
        <rFont val="微软雅黑"/>
        <family val="2"/>
        <charset val="134"/>
      </rPr>
      <t>70%</t>
    </r>
    <r>
      <rPr>
        <sz val="12"/>
        <color theme="1"/>
        <rFont val="微软雅黑"/>
        <family val="2"/>
        <charset val="134"/>
      </rPr>
      <t xml:space="preserve">，贷款利率 ⑦ </t>
    </r>
    <r>
      <rPr>
        <b/>
        <sz val="12"/>
        <color theme="1"/>
        <rFont val="微软雅黑"/>
        <family val="2"/>
        <charset val="134"/>
      </rPr>
      <t>4.9%</t>
    </r>
    <r>
      <rPr>
        <sz val="12"/>
        <color theme="1"/>
        <rFont val="微软雅黑"/>
        <family val="2"/>
        <charset val="134"/>
      </rPr>
      <t xml:space="preserve">，⑧ </t>
    </r>
    <r>
      <rPr>
        <b/>
        <sz val="12"/>
        <color theme="1"/>
        <rFont val="微软雅黑"/>
        <family val="2"/>
        <charset val="134"/>
      </rPr>
      <t>20年期</t>
    </r>
    <r>
      <rPr>
        <sz val="12"/>
        <color theme="1"/>
        <rFont val="微软雅黑"/>
        <family val="2"/>
        <charset val="134"/>
      </rPr>
      <t xml:space="preserve">，⑨ </t>
    </r>
    <r>
      <rPr>
        <b/>
        <sz val="12"/>
        <color theme="1"/>
        <rFont val="微软雅黑"/>
        <family val="2"/>
        <charset val="134"/>
      </rPr>
      <t>等额本息</t>
    </r>
    <r>
      <rPr>
        <sz val="12"/>
        <color theme="1"/>
        <rFont val="微软雅黑"/>
        <family val="2"/>
        <charset val="134"/>
      </rPr>
      <t xml:space="preserve">还款；
简小七预期房子一年后该房子可以 ④ </t>
    </r>
    <r>
      <rPr>
        <b/>
        <sz val="12"/>
        <color theme="1"/>
        <rFont val="微软雅黑"/>
        <family val="2"/>
        <charset val="134"/>
      </rPr>
      <t>上涨10%</t>
    </r>
    <r>
      <rPr>
        <sz val="12"/>
        <color theme="1"/>
        <rFont val="微软雅黑"/>
        <family val="2"/>
        <charset val="134"/>
      </rPr>
      <t xml:space="preserve">，即价值110万
另外，购买时支付税费 ② </t>
    </r>
    <r>
      <rPr>
        <b/>
        <sz val="12"/>
        <color theme="1"/>
        <rFont val="微软雅黑"/>
        <family val="2"/>
        <charset val="134"/>
      </rPr>
      <t>5万元，无房租收入</t>
    </r>
    <phoneticPr fontId="1" type="noConversion"/>
  </si>
  <si>
    <r>
      <t xml:space="preserve">⑥  </t>
    </r>
    <r>
      <rPr>
        <b/>
        <sz val="11"/>
        <color theme="1"/>
        <rFont val="微软雅黑"/>
        <family val="2"/>
        <charset val="134"/>
      </rPr>
      <t>房租收入</t>
    </r>
    <phoneticPr fontId="1" type="noConversion"/>
  </si>
  <si>
    <r>
      <t xml:space="preserve">⑦ </t>
    </r>
    <r>
      <rPr>
        <b/>
        <sz val="11"/>
        <color theme="1"/>
        <rFont val="微软雅黑"/>
        <family val="2"/>
        <charset val="134"/>
      </rPr>
      <t>临界收益率</t>
    </r>
    <phoneticPr fontId="1" type="noConversion"/>
  </si>
  <si>
    <t>⑧  房贷利率</t>
    <phoneticPr fontId="1" type="noConversion"/>
  </si>
  <si>
    <t>⑨ 房贷期限</t>
    <phoneticPr fontId="1" type="noConversion"/>
  </si>
  <si>
    <t>⑩ 房贷还款方式</t>
    <phoneticPr fontId="1" type="noConversion"/>
  </si>
  <si>
    <r>
      <rPr>
        <b/>
        <sz val="20"/>
        <color theme="8"/>
        <rFont val="微软雅黑"/>
        <family val="2"/>
        <charset val="134"/>
      </rPr>
      <t>结论</t>
    </r>
    <r>
      <rPr>
        <sz val="11"/>
        <color theme="1"/>
        <rFont val="微软雅黑"/>
        <family val="2"/>
        <charset val="134"/>
      </rPr>
      <t xml:space="preserve">
在 ④  预估房价涨幅下：
1.</t>
    </r>
    <r>
      <rPr>
        <b/>
        <sz val="11"/>
        <color theme="1"/>
        <rFont val="微软雅黑"/>
        <family val="2"/>
        <charset val="134"/>
      </rPr>
      <t>其他渠道投资收益率</t>
    </r>
    <r>
      <rPr>
        <sz val="11"/>
        <color theme="1"/>
        <rFont val="微软雅黑"/>
        <family val="2"/>
        <charset val="134"/>
      </rPr>
      <t xml:space="preserve">＞⑦  </t>
    </r>
    <r>
      <rPr>
        <b/>
        <sz val="11"/>
        <color theme="1"/>
        <rFont val="微软雅黑"/>
        <family val="2"/>
        <charset val="134"/>
      </rPr>
      <t>对应收益率</t>
    </r>
    <r>
      <rPr>
        <sz val="11"/>
        <color theme="1"/>
        <rFont val="微软雅黑"/>
        <family val="2"/>
        <charset val="134"/>
      </rPr>
      <t>，则自己投资理财收益更高；
2.</t>
    </r>
    <r>
      <rPr>
        <b/>
        <sz val="11"/>
        <color theme="1"/>
        <rFont val="微软雅黑"/>
        <family val="2"/>
        <charset val="134"/>
      </rPr>
      <t>其他渠道投资收益率</t>
    </r>
    <r>
      <rPr>
        <sz val="11"/>
        <color theme="1"/>
        <rFont val="微软雅黑"/>
        <family val="2"/>
        <charset val="134"/>
      </rPr>
      <t xml:space="preserve">＜⑦  </t>
    </r>
    <r>
      <rPr>
        <b/>
        <sz val="11"/>
        <color theme="1"/>
        <rFont val="微软雅黑"/>
        <family val="2"/>
        <charset val="134"/>
      </rPr>
      <t>对应收益率</t>
    </r>
    <r>
      <rPr>
        <sz val="11"/>
        <color theme="1"/>
        <rFont val="微软雅黑"/>
        <family val="2"/>
        <charset val="134"/>
      </rPr>
      <t>，则买房投资收益更高；</t>
    </r>
    <phoneticPr fontId="1" type="noConversion"/>
  </si>
  <si>
    <r>
      <rPr>
        <b/>
        <sz val="20"/>
        <color theme="8"/>
        <rFont val="微软雅黑"/>
        <family val="2"/>
        <charset val="134"/>
      </rPr>
      <t>说明</t>
    </r>
    <r>
      <rPr>
        <sz val="11"/>
        <color theme="1"/>
        <rFont val="微软雅黑"/>
        <family val="2"/>
        <charset val="134"/>
      </rPr>
      <t xml:space="preserve">
1、此表格为估算，未考虑不同期的利息、房租的货币时间价值；
2、⑤ </t>
    </r>
    <r>
      <rPr>
        <b/>
        <sz val="11"/>
        <color theme="1"/>
        <rFont val="微软雅黑"/>
        <family val="2"/>
        <charset val="134"/>
      </rPr>
      <t>期间房贷利息总和</t>
    </r>
    <r>
      <rPr>
        <sz val="11"/>
        <color theme="1"/>
        <rFont val="微软雅黑"/>
        <family val="2"/>
        <charset val="134"/>
      </rPr>
      <t>可通过</t>
    </r>
    <r>
      <rPr>
        <sz val="11"/>
        <color rgb="FFFF0000"/>
        <rFont val="微软雅黑"/>
        <family val="2"/>
        <charset val="134"/>
      </rPr>
      <t>http://www.tjrtpw.com/</t>
    </r>
    <r>
      <rPr>
        <sz val="11"/>
        <color theme="1"/>
        <rFont val="微软雅黑"/>
        <family val="2"/>
        <charset val="134"/>
      </rPr>
      <t>自动计算并</t>
    </r>
    <r>
      <rPr>
        <b/>
        <sz val="11"/>
        <color theme="1"/>
        <rFont val="微软雅黑"/>
        <family val="2"/>
        <charset val="134"/>
      </rPr>
      <t>按月加总</t>
    </r>
    <r>
      <rPr>
        <sz val="11"/>
        <color theme="1"/>
        <rFont val="微软雅黑"/>
        <family val="2"/>
        <charset val="134"/>
      </rPr>
      <t>得到（如下图所示）；
3、④</t>
    </r>
    <r>
      <rPr>
        <b/>
        <sz val="11"/>
        <color theme="1"/>
        <rFont val="微软雅黑"/>
        <family val="2"/>
        <charset val="134"/>
      </rPr>
      <t xml:space="preserve"> 预估期间的房价涨幅、</t>
    </r>
    <r>
      <rPr>
        <sz val="11"/>
        <color theme="1"/>
        <rFont val="微软雅黑"/>
        <family val="2"/>
        <charset val="134"/>
      </rPr>
      <t xml:space="preserve">⑤ </t>
    </r>
    <r>
      <rPr>
        <b/>
        <sz val="11"/>
        <color theme="1"/>
        <rFont val="微软雅黑"/>
        <family val="2"/>
        <charset val="134"/>
      </rPr>
      <t>期间房贷利息总和、</t>
    </r>
    <r>
      <rPr>
        <sz val="11"/>
        <color theme="1"/>
        <rFont val="微软雅黑"/>
        <family val="2"/>
        <charset val="134"/>
      </rPr>
      <t xml:space="preserve">⑥ </t>
    </r>
    <r>
      <rPr>
        <b/>
        <sz val="11"/>
        <color theme="1"/>
        <rFont val="微软雅黑"/>
        <family val="2"/>
        <charset val="134"/>
      </rPr>
      <t>房租收入</t>
    </r>
    <r>
      <rPr>
        <sz val="11"/>
        <color theme="1"/>
        <rFont val="微软雅黑"/>
        <family val="2"/>
        <charset val="134"/>
      </rPr>
      <t xml:space="preserve"> ⑦</t>
    </r>
    <r>
      <rPr>
        <b/>
        <sz val="11"/>
        <color theme="1"/>
        <rFont val="微软雅黑"/>
        <family val="2"/>
        <charset val="134"/>
      </rPr>
      <t xml:space="preserve"> 临界收益率</t>
    </r>
    <r>
      <rPr>
        <sz val="11"/>
        <color theme="1"/>
        <rFont val="微软雅黑"/>
        <family val="2"/>
        <charset val="134"/>
      </rPr>
      <t>的时期必须统一。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</si>
</sst>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20"/>
      <color theme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5"/>
      <name val="微软雅黑"/>
      <family val="2"/>
      <charset val="134"/>
    </font>
    <font>
      <b/>
      <sz val="12"/>
      <color theme="5"/>
      <name val="微软雅黑"/>
      <family val="2"/>
      <charset val="134"/>
    </font>
    <font>
      <b/>
      <sz val="11"/>
      <color theme="5"/>
      <name val="微软雅黑"/>
      <family val="2"/>
      <charset val="134"/>
    </font>
    <font>
      <sz val="11"/>
      <color theme="5"/>
      <name val="微软雅黑"/>
      <family val="2"/>
      <charset val="134"/>
    </font>
    <font>
      <b/>
      <sz val="11"/>
      <color rgb="FF333333"/>
      <name val="Arial"/>
      <family val="2"/>
    </font>
    <font>
      <sz val="11"/>
      <color theme="1"/>
      <name val="Arial"/>
      <family val="2"/>
    </font>
    <font>
      <b/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F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3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0" fontId="8" fillId="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0" fontId="2" fillId="0" borderId="0" xfId="0" applyNumberFormat="1" applyFont="1">
      <alignment vertical="center"/>
    </xf>
    <xf numFmtId="0" fontId="13" fillId="4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8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5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9" fontId="2" fillId="0" borderId="0" xfId="0" applyNumberFormat="1" applyFont="1">
      <alignment vertical="center"/>
    </xf>
    <xf numFmtId="10" fontId="15" fillId="3" borderId="0" xfId="0" applyNumberFormat="1" applyFont="1" applyFill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11</xdr:row>
      <xdr:rowOff>1295725</xdr:rowOff>
    </xdr:from>
    <xdr:to>
      <xdr:col>5</xdr:col>
      <xdr:colOff>76200</xdr:colOff>
      <xdr:row>11</xdr:row>
      <xdr:rowOff>3529662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943800"/>
          <a:ext cx="6115050" cy="2233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16</xdr:row>
      <xdr:rowOff>1352550</xdr:rowOff>
    </xdr:from>
    <xdr:to>
      <xdr:col>3</xdr:col>
      <xdr:colOff>942975</xdr:colOff>
      <xdr:row>17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5248275"/>
          <a:ext cx="4305300" cy="200977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21</xdr:row>
      <xdr:rowOff>104774</xdr:rowOff>
    </xdr:from>
    <xdr:to>
      <xdr:col>5</xdr:col>
      <xdr:colOff>47625</xdr:colOff>
      <xdr:row>30</xdr:row>
      <xdr:rowOff>33986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5286374"/>
          <a:ext cx="6115050" cy="190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D8"/>
    </sheetView>
  </sheetViews>
  <sheetFormatPr defaultRowHeight="17.25" x14ac:dyDescent="0.15"/>
  <cols>
    <col min="1" max="1" width="11.75" style="2" customWidth="1"/>
    <col min="2" max="2" width="22.75" style="1" customWidth="1"/>
    <col min="3" max="3" width="14.5" style="1" customWidth="1"/>
    <col min="4" max="4" width="24.625" style="1" customWidth="1"/>
    <col min="5" max="16384" width="9" style="1"/>
  </cols>
  <sheetData>
    <row r="1" spans="1:8" s="8" customFormat="1" ht="27" customHeight="1" x14ac:dyDescent="0.15">
      <c r="A1" s="5"/>
      <c r="B1" s="6" t="s">
        <v>4</v>
      </c>
      <c r="C1" s="6" t="s">
        <v>5</v>
      </c>
      <c r="D1" s="7" t="s">
        <v>6</v>
      </c>
      <c r="F1" s="8" t="s">
        <v>9</v>
      </c>
    </row>
    <row r="2" spans="1:8" ht="16.5" x14ac:dyDescent="0.15">
      <c r="A2" s="16" t="s">
        <v>8</v>
      </c>
      <c r="B2" s="1" t="s">
        <v>0</v>
      </c>
      <c r="F2" s="1" t="s">
        <v>27</v>
      </c>
    </row>
    <row r="3" spans="1:8" ht="16.5" x14ac:dyDescent="0.15">
      <c r="A3" s="16"/>
      <c r="B3" s="1" t="s">
        <v>1</v>
      </c>
      <c r="F3" s="1" t="s">
        <v>28</v>
      </c>
    </row>
    <row r="4" spans="1:8" ht="16.5" x14ac:dyDescent="0.15">
      <c r="A4" s="16"/>
      <c r="B4" s="1" t="s">
        <v>2</v>
      </c>
      <c r="F4" s="1" t="s">
        <v>29</v>
      </c>
    </row>
    <row r="5" spans="1:8" ht="16.5" x14ac:dyDescent="0.15">
      <c r="A5" s="16"/>
      <c r="B5" s="1" t="s">
        <v>10</v>
      </c>
    </row>
    <row r="6" spans="1:8" ht="16.5" x14ac:dyDescent="0.15">
      <c r="A6" s="16"/>
      <c r="B6" s="1" t="s">
        <v>11</v>
      </c>
      <c r="D6" s="1" t="s">
        <v>7</v>
      </c>
    </row>
    <row r="7" spans="1:8" x14ac:dyDescent="0.15">
      <c r="A7" s="9"/>
      <c r="B7" s="1" t="s">
        <v>25</v>
      </c>
    </row>
    <row r="8" spans="1:8" ht="36.75" customHeight="1" x14ac:dyDescent="0.15">
      <c r="A8" s="10" t="s">
        <v>3</v>
      </c>
      <c r="B8" s="4" t="s">
        <v>26</v>
      </c>
      <c r="C8" s="18" t="e">
        <f>(C2*C5-C6+C7)/(C2*C4+C3)</f>
        <v>#DIV/0!</v>
      </c>
      <c r="D8" s="18"/>
    </row>
    <row r="10" spans="1:8" ht="109.5" customHeight="1" x14ac:dyDescent="0.15">
      <c r="A10" s="17" t="s">
        <v>30</v>
      </c>
      <c r="B10" s="17"/>
      <c r="C10" s="17"/>
      <c r="D10" s="17"/>
      <c r="E10" s="17"/>
      <c r="F10" s="17"/>
      <c r="G10" s="17"/>
      <c r="H10" s="17"/>
    </row>
    <row r="12" spans="1:8" ht="349.5" customHeight="1" x14ac:dyDescent="0.15">
      <c r="A12" s="17" t="s">
        <v>31</v>
      </c>
      <c r="B12" s="17"/>
      <c r="C12" s="17"/>
      <c r="D12" s="17"/>
      <c r="E12" s="17"/>
      <c r="F12" s="17"/>
      <c r="G12" s="17"/>
      <c r="H12" s="17"/>
    </row>
  </sheetData>
  <mergeCells count="4">
    <mergeCell ref="A2:A6"/>
    <mergeCell ref="A10:H10"/>
    <mergeCell ref="A12:H12"/>
    <mergeCell ref="C8:D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A10" sqref="A10:H14"/>
    </sheetView>
  </sheetViews>
  <sheetFormatPr defaultRowHeight="17.25" x14ac:dyDescent="0.15"/>
  <cols>
    <col min="1" max="1" width="11.75" style="2" customWidth="1"/>
    <col min="2" max="2" width="22.75" style="1" customWidth="1"/>
    <col min="3" max="3" width="14.5" style="1" customWidth="1"/>
    <col min="4" max="4" width="24.625" style="1" customWidth="1"/>
    <col min="5" max="5" width="9" style="1"/>
    <col min="6" max="6" width="20.375" style="1" customWidth="1"/>
    <col min="7" max="16384" width="9" style="1"/>
  </cols>
  <sheetData>
    <row r="1" spans="1:14" s="21" customFormat="1" ht="95.25" customHeight="1" thickBot="1" x14ac:dyDescent="0.2">
      <c r="A1" s="20" t="s">
        <v>24</v>
      </c>
    </row>
    <row r="2" spans="1:14" s="8" customFormat="1" ht="27" customHeight="1" thickBot="1" x14ac:dyDescent="0.2">
      <c r="A2" s="5"/>
      <c r="B2" s="6" t="s">
        <v>4</v>
      </c>
      <c r="C2" s="6" t="s">
        <v>5</v>
      </c>
      <c r="D2" s="7" t="s">
        <v>6</v>
      </c>
      <c r="F2" s="8" t="s">
        <v>9</v>
      </c>
      <c r="J2" s="12" t="s">
        <v>17</v>
      </c>
      <c r="K2" s="12" t="s">
        <v>18</v>
      </c>
      <c r="L2" s="12" t="s">
        <v>19</v>
      </c>
      <c r="M2" s="12" t="s">
        <v>20</v>
      </c>
      <c r="N2" s="12" t="s">
        <v>21</v>
      </c>
    </row>
    <row r="3" spans="1:14" ht="17.25" customHeight="1" thickBot="1" x14ac:dyDescent="0.2">
      <c r="A3" s="16" t="s">
        <v>8</v>
      </c>
      <c r="B3" s="1" t="s">
        <v>0</v>
      </c>
      <c r="C3" s="1">
        <v>100</v>
      </c>
      <c r="F3" s="1" t="s">
        <v>14</v>
      </c>
      <c r="G3" s="11">
        <v>4.9000000000000002E-2</v>
      </c>
      <c r="J3" s="13">
        <v>1</v>
      </c>
      <c r="K3" s="14">
        <v>1963.33</v>
      </c>
      <c r="L3" s="14">
        <v>1225</v>
      </c>
      <c r="M3" s="14">
        <v>738.33</v>
      </c>
      <c r="N3" s="14">
        <v>299261.67</v>
      </c>
    </row>
    <row r="4" spans="1:14" ht="17.25" customHeight="1" thickBot="1" x14ac:dyDescent="0.2">
      <c r="A4" s="16"/>
      <c r="B4" s="1" t="s">
        <v>1</v>
      </c>
      <c r="C4" s="1">
        <v>5</v>
      </c>
      <c r="F4" s="1" t="s">
        <v>15</v>
      </c>
      <c r="G4" s="1" t="s">
        <v>12</v>
      </c>
      <c r="J4" s="13">
        <v>2</v>
      </c>
      <c r="K4" s="14">
        <v>1963.33</v>
      </c>
      <c r="L4" s="14">
        <v>1221.99</v>
      </c>
      <c r="M4" s="14">
        <v>741.35</v>
      </c>
      <c r="N4" s="14">
        <v>298520.32000000001</v>
      </c>
    </row>
    <row r="5" spans="1:14" ht="17.25" customHeight="1" thickBot="1" x14ac:dyDescent="0.2">
      <c r="A5" s="16"/>
      <c r="B5" s="1" t="s">
        <v>2</v>
      </c>
      <c r="C5" s="22">
        <v>0.7</v>
      </c>
      <c r="F5" s="1" t="s">
        <v>16</v>
      </c>
      <c r="G5" s="1" t="s">
        <v>13</v>
      </c>
      <c r="J5" s="13">
        <v>3</v>
      </c>
      <c r="K5" s="14">
        <v>1963.33</v>
      </c>
      <c r="L5" s="14">
        <v>1218.96</v>
      </c>
      <c r="M5" s="14">
        <v>744.37</v>
      </c>
      <c r="N5" s="14">
        <v>297775.95</v>
      </c>
    </row>
    <row r="6" spans="1:14" ht="17.25" customHeight="1" thickBot="1" x14ac:dyDescent="0.2">
      <c r="A6" s="16"/>
      <c r="B6" s="1" t="s">
        <v>10</v>
      </c>
      <c r="C6" s="22">
        <v>0.1</v>
      </c>
      <c r="J6" s="13">
        <v>4</v>
      </c>
      <c r="K6" s="14">
        <v>1963.33</v>
      </c>
      <c r="L6" s="14">
        <v>1215.92</v>
      </c>
      <c r="M6" s="14">
        <v>747.41</v>
      </c>
      <c r="N6" s="14">
        <v>297028.53000000003</v>
      </c>
    </row>
    <row r="7" spans="1:14" ht="17.25" customHeight="1" thickBot="1" x14ac:dyDescent="0.2">
      <c r="A7" s="16"/>
      <c r="B7" s="1" t="s">
        <v>11</v>
      </c>
      <c r="C7" s="1">
        <f>L15/10000</f>
        <v>1.4498300000000002</v>
      </c>
      <c r="D7" s="1" t="s">
        <v>7</v>
      </c>
      <c r="J7" s="13">
        <v>5</v>
      </c>
      <c r="K7" s="14">
        <v>1963.33</v>
      </c>
      <c r="L7" s="14">
        <v>1212.8699999999999</v>
      </c>
      <c r="M7" s="14">
        <v>750.47</v>
      </c>
      <c r="N7" s="14">
        <v>296278.07</v>
      </c>
    </row>
    <row r="8" spans="1:14" ht="28.5" customHeight="1" thickBot="1" x14ac:dyDescent="0.2">
      <c r="A8" s="9"/>
      <c r="B8" s="1" t="s">
        <v>25</v>
      </c>
      <c r="C8" s="1">
        <v>0</v>
      </c>
      <c r="J8" s="13">
        <v>6</v>
      </c>
      <c r="K8" s="14">
        <v>1963.33</v>
      </c>
      <c r="L8" s="14">
        <v>1209.8</v>
      </c>
      <c r="M8" s="14">
        <v>753.53</v>
      </c>
      <c r="N8" s="14">
        <v>295524.53999999998</v>
      </c>
    </row>
    <row r="9" spans="1:14" ht="18" thickBot="1" x14ac:dyDescent="0.2">
      <c r="A9" s="10" t="s">
        <v>3</v>
      </c>
      <c r="B9" s="4" t="s">
        <v>26</v>
      </c>
      <c r="C9" s="23">
        <f>(C3*C6-C7+C8)/(C3*C5+C4)</f>
        <v>0.11400226666666666</v>
      </c>
      <c r="D9" s="23"/>
      <c r="J9" s="13">
        <v>7</v>
      </c>
      <c r="K9" s="14">
        <v>1963.33</v>
      </c>
      <c r="L9" s="14">
        <v>1206.73</v>
      </c>
      <c r="M9" s="14">
        <v>756.61</v>
      </c>
      <c r="N9" s="14">
        <v>294767.93</v>
      </c>
    </row>
    <row r="10" spans="1:14" ht="24" customHeight="1" thickBot="1" x14ac:dyDescent="0.2">
      <c r="A10" s="17" t="s">
        <v>23</v>
      </c>
      <c r="B10" s="17"/>
      <c r="C10" s="17"/>
      <c r="D10" s="17"/>
      <c r="E10" s="17"/>
      <c r="F10" s="17"/>
      <c r="G10" s="17"/>
      <c r="H10" s="17"/>
      <c r="J10" s="13">
        <v>8</v>
      </c>
      <c r="K10" s="14">
        <v>1963.33</v>
      </c>
      <c r="L10" s="14">
        <v>1203.6400000000001</v>
      </c>
      <c r="M10" s="14">
        <v>759.7</v>
      </c>
      <c r="N10" s="14">
        <v>294008.23</v>
      </c>
    </row>
    <row r="11" spans="1:14" ht="24" customHeight="1" thickBot="1" x14ac:dyDescent="0.2">
      <c r="A11" s="17"/>
      <c r="B11" s="17"/>
      <c r="C11" s="17"/>
      <c r="D11" s="17"/>
      <c r="E11" s="17"/>
      <c r="F11" s="17"/>
      <c r="G11" s="17"/>
      <c r="H11" s="17"/>
      <c r="J11" s="13">
        <v>9</v>
      </c>
      <c r="K11" s="14">
        <v>1963.33</v>
      </c>
      <c r="L11" s="14">
        <v>1200.53</v>
      </c>
      <c r="M11" s="14">
        <v>762.8</v>
      </c>
      <c r="N11" s="14">
        <v>293245.44</v>
      </c>
    </row>
    <row r="12" spans="1:14" ht="24" customHeight="1" thickBot="1" x14ac:dyDescent="0.2">
      <c r="A12" s="17"/>
      <c r="B12" s="17"/>
      <c r="C12" s="17"/>
      <c r="D12" s="17"/>
      <c r="E12" s="17"/>
      <c r="F12" s="17"/>
      <c r="G12" s="17"/>
      <c r="H12" s="17"/>
      <c r="J12" s="13">
        <v>10</v>
      </c>
      <c r="K12" s="14">
        <v>1963.33</v>
      </c>
      <c r="L12" s="14">
        <v>1197.42</v>
      </c>
      <c r="M12" s="14">
        <v>765.91</v>
      </c>
      <c r="N12" s="14">
        <v>292479.52</v>
      </c>
    </row>
    <row r="13" spans="1:14" ht="24" customHeight="1" thickBot="1" x14ac:dyDescent="0.2">
      <c r="A13" s="17"/>
      <c r="B13" s="17"/>
      <c r="C13" s="17"/>
      <c r="D13" s="17"/>
      <c r="E13" s="17"/>
      <c r="F13" s="17"/>
      <c r="G13" s="17"/>
      <c r="H13" s="17"/>
      <c r="J13" s="13">
        <v>11</v>
      </c>
      <c r="K13" s="14">
        <v>1963.33</v>
      </c>
      <c r="L13" s="14">
        <v>1194.29</v>
      </c>
      <c r="M13" s="14">
        <v>769.04</v>
      </c>
      <c r="N13" s="14">
        <v>291710.48</v>
      </c>
    </row>
    <row r="14" spans="1:14" ht="24" customHeight="1" thickBot="1" x14ac:dyDescent="0.2">
      <c r="A14" s="17"/>
      <c r="B14" s="17"/>
      <c r="C14" s="17"/>
      <c r="D14" s="17"/>
      <c r="E14" s="17"/>
      <c r="F14" s="17"/>
      <c r="G14" s="17"/>
      <c r="H14" s="17"/>
      <c r="J14" s="13">
        <v>12</v>
      </c>
      <c r="K14" s="14">
        <v>1963.33</v>
      </c>
      <c r="L14" s="14">
        <v>1191.1500000000001</v>
      </c>
      <c r="M14" s="14">
        <v>772.18</v>
      </c>
      <c r="N14" s="14">
        <v>290938.3</v>
      </c>
    </row>
    <row r="15" spans="1:14" x14ac:dyDescent="0.15">
      <c r="L15" s="1">
        <f>SUM(L3:L14)</f>
        <v>14498.300000000001</v>
      </c>
    </row>
    <row r="16" spans="1:14" ht="21" customHeight="1" x14ac:dyDescent="0.15">
      <c r="A16" s="19" t="s">
        <v>22</v>
      </c>
      <c r="B16" s="19"/>
      <c r="C16" s="19"/>
      <c r="D16" s="19"/>
      <c r="E16" s="19"/>
      <c r="F16" s="19"/>
      <c r="G16" s="3"/>
      <c r="H16" s="3"/>
      <c r="L16" s="15"/>
    </row>
    <row r="17" spans="1:6" ht="17.25" customHeight="1" x14ac:dyDescent="0.15">
      <c r="A17" s="19"/>
      <c r="B17" s="19"/>
      <c r="C17" s="19"/>
      <c r="D17" s="19"/>
      <c r="E17" s="19"/>
      <c r="F17" s="19"/>
    </row>
    <row r="18" spans="1:6" ht="17.25" customHeight="1" x14ac:dyDescent="0.15">
      <c r="A18" s="19"/>
      <c r="B18" s="19"/>
      <c r="C18" s="19"/>
      <c r="D18" s="19"/>
      <c r="E18" s="19"/>
      <c r="F18" s="19"/>
    </row>
    <row r="19" spans="1:6" ht="17.25" customHeight="1" x14ac:dyDescent="0.15">
      <c r="A19" s="19"/>
      <c r="B19" s="19"/>
      <c r="C19" s="19"/>
      <c r="D19" s="19"/>
      <c r="E19" s="19"/>
      <c r="F19" s="19"/>
    </row>
    <row r="20" spans="1:6" ht="17.25" customHeight="1" x14ac:dyDescent="0.15">
      <c r="A20" s="19"/>
      <c r="B20" s="19"/>
      <c r="C20" s="19"/>
      <c r="D20" s="19"/>
      <c r="E20" s="19"/>
      <c r="F20" s="19"/>
    </row>
    <row r="21" spans="1:6" ht="17.25" customHeight="1" x14ac:dyDescent="0.15">
      <c r="A21" s="19"/>
      <c r="B21" s="19"/>
      <c r="C21" s="19"/>
      <c r="D21" s="19"/>
      <c r="E21" s="19"/>
      <c r="F21" s="19"/>
    </row>
    <row r="22" spans="1:6" ht="17.25" customHeight="1" x14ac:dyDescent="0.15">
      <c r="A22" s="19"/>
      <c r="B22" s="19"/>
      <c r="C22" s="19"/>
      <c r="D22" s="19"/>
      <c r="E22" s="19"/>
      <c r="F22" s="19"/>
    </row>
    <row r="23" spans="1:6" ht="17.25" customHeight="1" x14ac:dyDescent="0.15">
      <c r="A23" s="19"/>
      <c r="B23" s="19"/>
      <c r="C23" s="19"/>
      <c r="D23" s="19"/>
      <c r="E23" s="19"/>
      <c r="F23" s="19"/>
    </row>
    <row r="24" spans="1:6" ht="17.25" customHeight="1" x14ac:dyDescent="0.15">
      <c r="A24" s="19"/>
      <c r="B24" s="19"/>
      <c r="C24" s="19"/>
      <c r="D24" s="19"/>
      <c r="E24" s="19"/>
      <c r="F24" s="19"/>
    </row>
    <row r="25" spans="1:6" ht="17.25" customHeight="1" x14ac:dyDescent="0.15">
      <c r="A25" s="19"/>
      <c r="B25" s="19"/>
      <c r="C25" s="19"/>
      <c r="D25" s="19"/>
      <c r="E25" s="19"/>
      <c r="F25" s="19"/>
    </row>
    <row r="26" spans="1:6" ht="17.25" customHeight="1" x14ac:dyDescent="0.15">
      <c r="A26" s="19"/>
      <c r="B26" s="19"/>
      <c r="C26" s="19"/>
      <c r="D26" s="19"/>
      <c r="E26" s="19"/>
      <c r="F26" s="19"/>
    </row>
    <row r="27" spans="1:6" ht="17.25" customHeight="1" x14ac:dyDescent="0.15">
      <c r="A27" s="19"/>
      <c r="B27" s="19"/>
      <c r="C27" s="19"/>
      <c r="D27" s="19"/>
      <c r="E27" s="19"/>
      <c r="F27" s="19"/>
    </row>
    <row r="28" spans="1:6" ht="17.25" customHeight="1" x14ac:dyDescent="0.15">
      <c r="A28" s="19"/>
      <c r="B28" s="19"/>
      <c r="C28" s="19"/>
      <c r="D28" s="19"/>
      <c r="E28" s="19"/>
      <c r="F28" s="19"/>
    </row>
    <row r="29" spans="1:6" ht="17.25" customHeight="1" x14ac:dyDescent="0.15">
      <c r="A29" s="19"/>
      <c r="B29" s="19"/>
      <c r="C29" s="19"/>
      <c r="D29" s="19"/>
      <c r="E29" s="19"/>
      <c r="F29" s="19"/>
    </row>
    <row r="30" spans="1:6" ht="17.25" customHeight="1" x14ac:dyDescent="0.15">
      <c r="A30" s="19"/>
      <c r="B30" s="19"/>
      <c r="C30" s="19"/>
      <c r="D30" s="19"/>
      <c r="E30" s="19"/>
      <c r="F30" s="19"/>
    </row>
    <row r="31" spans="1:6" ht="17.25" customHeight="1" x14ac:dyDescent="0.15">
      <c r="A31" s="19"/>
      <c r="B31" s="19"/>
      <c r="C31" s="19"/>
      <c r="D31" s="19"/>
      <c r="E31" s="19"/>
      <c r="F31" s="19"/>
    </row>
    <row r="32" spans="1:6" ht="17.25" customHeight="1" x14ac:dyDescent="0.15">
      <c r="A32" s="19"/>
      <c r="B32" s="19"/>
      <c r="C32" s="19"/>
      <c r="D32" s="19"/>
      <c r="E32" s="19"/>
      <c r="F32" s="19"/>
    </row>
  </sheetData>
  <mergeCells count="5">
    <mergeCell ref="A16:F32"/>
    <mergeCell ref="A1:XFD1"/>
    <mergeCell ref="A3:A7"/>
    <mergeCell ref="A10:H14"/>
    <mergeCell ref="C9:D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测算表</vt:lpstr>
      <vt:lpstr>举例说明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</dc:creator>
  <cp:lastModifiedBy>stephy</cp:lastModifiedBy>
  <dcterms:created xsi:type="dcterms:W3CDTF">2016-03-29T14:10:42Z</dcterms:created>
  <dcterms:modified xsi:type="dcterms:W3CDTF">2016-03-29T16:36:49Z</dcterms:modified>
</cp:coreProperties>
</file>